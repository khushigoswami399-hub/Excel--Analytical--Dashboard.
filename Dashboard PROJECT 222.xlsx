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7744a926cd91d081/Documents/"/>
    </mc:Choice>
  </mc:AlternateContent>
  <xr:revisionPtr revIDLastSave="0" documentId="8_{537307D3-639C-4330-956F-AA2EF24B1492}" xr6:coauthVersionLast="47" xr6:coauthVersionMax="47" xr10:uidLastSave="{00000000-0000-0000-0000-000000000000}"/>
  <bookViews>
    <workbookView xWindow="-108" yWindow="-108" windowWidth="23256" windowHeight="12456" xr2:uid="{7895A160-2AC7-4AB0-84BA-317651D5EB71}"/>
  </bookViews>
  <sheets>
    <sheet name="Dashboard" sheetId="2" r:id="rId1"/>
    <sheet name="Pivot Report" sheetId="1" r:id="rId2"/>
    <sheet name="Daily ER No of patient" sheetId="3" r:id="rId3"/>
    <sheet name="Average wait time daily trend" sheetId="4" r:id="rId4"/>
    <sheet name="satisfaction daily trend"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C45" i="1"/>
  <c r="B46" i="1"/>
  <c r="C46" i="1"/>
  <c r="A46"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<sst xmlns="http://schemas.openxmlformats.org/spreadsheetml/2006/main" count="156" uniqueCount="76">
  <si>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Distinct Count of Patient Id</t>
  </si>
  <si>
    <t>No. of patient</t>
  </si>
  <si>
    <t>Average of Patient Waittime</t>
  </si>
  <si>
    <t>Average of Patient Satisfaction Score</t>
  </si>
  <si>
    <t>Row Labels</t>
  </si>
  <si>
    <t>Grand Total</t>
  </si>
  <si>
    <t>•Showing a daily trend with an area sparkline to spot patterns like busy days or seasonal trends.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</si>
  <si>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</si>
  <si>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</si>
  <si>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</si>
  <si>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</si>
  <si>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</si>
  <si>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</si>
  <si>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</si>
  <si>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</si>
  <si>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</si>
  <si>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</si>
  <si>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</si>
  <si>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</si>
  <si>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</si>
  <si>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</si>
  <si>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</si>
  <si>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</si>
  <si>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</si>
  <si>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</si>
  <si>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</si>
  <si>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</si>
  <si>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</si>
  <si>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</si>
  <si>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</si>
  <si>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</si>
  <si>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</si>
  <si>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</si>
  <si>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</si>
  <si>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</si>
  <si>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</si>
  <si>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</si>
  <si>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trends of no. of patient</t>
  </si>
  <si>
    <t>Average wait time</t>
  </si>
  <si>
    <t>Satisfaction score daily trend</t>
  </si>
  <si>
    <t>Admitted</t>
  </si>
  <si>
    <t>Not Admitted</t>
  </si>
  <si>
    <t>Count of Patient Admission Flag</t>
  </si>
  <si>
    <t>Count of Patient Admission Flag2</t>
  </si>
  <si>
    <t>Count of Patient attend Status</t>
  </si>
  <si>
    <t>Admission status</t>
  </si>
  <si>
    <t>% status</t>
  </si>
  <si>
    <t>0-09</t>
  </si>
  <si>
    <t>10-19</t>
  </si>
  <si>
    <t>20-29</t>
  </si>
  <si>
    <t>30-39</t>
  </si>
  <si>
    <t>40-49</t>
  </si>
  <si>
    <t>50-59</t>
  </si>
  <si>
    <t>60-69</t>
  </si>
  <si>
    <t>70-79</t>
  </si>
  <si>
    <t>Count of Age Group</t>
  </si>
  <si>
    <t>age group analysis</t>
  </si>
  <si>
    <t>Delay</t>
  </si>
  <si>
    <t>Ontime</t>
  </si>
  <si>
    <t>attendence status</t>
  </si>
  <si>
    <t>Count of Patient Gender</t>
  </si>
  <si>
    <t>Female</t>
  </si>
  <si>
    <t>Male</t>
  </si>
  <si>
    <t>gender wise analysis</t>
  </si>
  <si>
    <t>Cardiology</t>
  </si>
  <si>
    <t>Gastroenterology</t>
  </si>
  <si>
    <t>General Practice</t>
  </si>
  <si>
    <t>Neurology</t>
  </si>
  <si>
    <t>None</t>
  </si>
  <si>
    <t>Orthopedics</t>
  </si>
  <si>
    <t>Physiotherapy</t>
  </si>
  <si>
    <t>Renal</t>
  </si>
  <si>
    <t>Count of Department Referral</t>
  </si>
  <si>
    <t>2023</t>
  </si>
  <si>
    <t>Qtr2</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</si>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</sst>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0" fontId="0" fillId="4" borderId="0" xfId="0" applyFill="1"/>
    <xf numFmtId="10" fontId="0" fillId="0" borderId="0" xfId="0" applyNumberFormat="1"/>
    <xf numFmtId="9" fontId="0" fillId="0" borderId="0" xfId="1" applyFont="1"/>
    <xf numFmtId="0" fontId="0" fillId="5" borderId="0" xfId="0" applyFill="1" applyAlignment="1">
      <alignment horizontal="left"/>
    </xf>
    <xf numFmtId="0" fontId="0" fillId="5" borderId="0" xfId="0" applyFill="1"/>
    <xf numFmtId="0" fontId="0" fillId="0" borderId="0" xfId="0" applyAlignment="1">
      <alignment horizontal="left" indent="1"/>
    </xf>
    <xf numFmtId="1" fontId="0" fillId="0" borderId="0" xfId="0" applyNumberFormat="1" applyAlignment="1">
      <alignment horizontal="left" indent="7"/>
    </xf>
    <xf numFmtId="1" fontId="0" fillId="0" borderId="0" xfId="0" applyNumberFormat="1"/>
    <xf numFmtId="0" fontId="0" fillId="0" borderId="0" xfId="0" applyAlignment="1">
      <alignment horizontal="left" indent="2"/>
    </xf>
    <xf numFmtId="14" fontId="0" fillId="0" borderId="0" xfId="0" applyNumberFormat="1" applyAlignment="1">
      <alignment horizontal="left" indent="3"/>
    </xf>
  </cellXfs>
  <cellStyles count="2">
    <cellStyle name="Normal" xfId="0" builtinId="0"/>
    <cellStyle name="Percent" xfId="1" builtinId="5"/>
  </cellStyles>
  <dxfs count="25">
    <dxf>
      <numFmt numFmtId="2" formatCode="0.00"/>
    </dxf>
    <dxf>
      <numFmt numFmtId="1" formatCode="0"/>
    </dxf>
    <dxf>
      <numFmt numFmtId="1" formatCode="0"/>
    </dxf>
    <dxf>
      <numFmt numFmtId="2" formatCode="0.00"/>
    </dxf>
    <dxf>
      <numFmt numFmtId="2" formatCode="0.00"/>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 formatCode="0.00"/>
    </dxf>
    <dxf>
      <numFmt numFmtId="2" formatCode="0.00"/>
    </dxf>
    <dxf>
      <numFmt numFmtId="14" formatCode="0.00%"/>
    </dxf>
    <dxf>
      <numFmt numFmtId="2" formatCode="0.00"/>
    </dxf>
    <dxf>
      <numFmt numFmtId="1" formatCode="0"/>
    </dxf>
    <dxf>
      <numFmt numFmtId="1" formatCode="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D96D89E4-0BF9-4E24-A446-96DC3AFA73E3}"/>
    <tableStyle name="My Style" pivot="0" table="0" count="10" xr9:uid="{9C43FA0D-6204-45A1-95E1-29E71A3D0A17}">
      <tableStyleElement type="wholeTable" dxfId="24"/>
      <tableStyleElement type="headerRow"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4-DC90-43AE-8DBB-BA5AFA3F21CD}"/>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Report!PivotTable2</c:name>
    <c:fmtId val="2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451754622636668"/>
          <c:h val="0.9899770735422364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4-FE2D-48E2-8952-46178D67F6BC}"/>
            </c:ext>
          </c:extLst>
        </c:ser>
        <c:dLbls>
          <c:showLegendKey val="0"/>
          <c:showVal val="0"/>
          <c:showCatName val="0"/>
          <c:showSerName val="0"/>
          <c:showPercent val="0"/>
          <c:showBubbleSize val="0"/>
        </c:dLbls>
        <c:axId val="189000784"/>
        <c:axId val="188999344"/>
      </c:areaChart>
      <c:catAx>
        <c:axId val="189000784"/>
        <c:scaling>
          <c:orientation val="minMax"/>
        </c:scaling>
        <c:delete val="1"/>
        <c:axPos val="b"/>
        <c:numFmt formatCode="General" sourceLinked="1"/>
        <c:majorTickMark val="out"/>
        <c:minorTickMark val="none"/>
        <c:tickLblPos val="nextTo"/>
        <c:crossAx val="188999344"/>
        <c:crosses val="autoZero"/>
        <c:auto val="1"/>
        <c:lblAlgn val="ctr"/>
        <c:lblOffset val="100"/>
        <c:noMultiLvlLbl val="0"/>
      </c:catAx>
      <c:valAx>
        <c:axId val="188999344"/>
        <c:scaling>
          <c:orientation val="minMax"/>
        </c:scaling>
        <c:delete val="1"/>
        <c:axPos val="l"/>
        <c:numFmt formatCode="0.00" sourceLinked="1"/>
        <c:majorTickMark val="none"/>
        <c:minorTickMark val="none"/>
        <c:tickLblPos val="nextTo"/>
        <c:crossAx val="189000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Report!PivotTable4</c:name>
    <c:fmtId val="2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20115416323163E-3"/>
          <c:y val="0.16021395739745972"/>
          <c:w val="0.95455433226225828"/>
          <c:h val="0.71351110995286293"/>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Report'!$N$5:$N$35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683A-4C24-BC76-8C9B39E60B75}"/>
            </c:ext>
          </c:extLst>
        </c:ser>
        <c:dLbls>
          <c:showLegendKey val="0"/>
          <c:showVal val="0"/>
          <c:showCatName val="0"/>
          <c:showSerName val="0"/>
          <c:showPercent val="0"/>
          <c:showBubbleSize val="0"/>
        </c:dLbls>
        <c:axId val="1183797120"/>
        <c:axId val="1183795200"/>
      </c:areaChart>
      <c:catAx>
        <c:axId val="1183797120"/>
        <c:scaling>
          <c:orientation val="minMax"/>
        </c:scaling>
        <c:delete val="1"/>
        <c:axPos val="b"/>
        <c:numFmt formatCode="General" sourceLinked="1"/>
        <c:majorTickMark val="out"/>
        <c:minorTickMark val="none"/>
        <c:tickLblPos val="nextTo"/>
        <c:crossAx val="1183795200"/>
        <c:crosses val="autoZero"/>
        <c:auto val="1"/>
        <c:lblAlgn val="ctr"/>
        <c:lblOffset val="100"/>
        <c:noMultiLvlLbl val="0"/>
      </c:catAx>
      <c:valAx>
        <c:axId val="1183795200"/>
        <c:scaling>
          <c:orientation val="minMax"/>
        </c:scaling>
        <c:delete val="1"/>
        <c:axPos val="l"/>
        <c:numFmt formatCode="0.00" sourceLinked="1"/>
        <c:majorTickMark val="none"/>
        <c:minorTickMark val="none"/>
        <c:tickLblPos val="nextTo"/>
        <c:crossAx val="1183797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54351372131962E-2"/>
          <c:y val="0.14133624976351217"/>
          <c:w val="0.91969129725573606"/>
          <c:h val="0.47168165856116256"/>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5-2CB1-4818-88C7-64E3FFF58A36}"/>
            </c:ext>
          </c:extLst>
        </c:ser>
        <c:dLbls>
          <c:showLegendKey val="0"/>
          <c:showVal val="0"/>
          <c:showCatName val="0"/>
          <c:showSerName val="0"/>
          <c:showPercent val="0"/>
          <c:showBubbleSize val="0"/>
        </c:dLbls>
        <c:gapWidth val="219"/>
        <c:overlap val="-27"/>
        <c:axId val="2128958559"/>
        <c:axId val="2128964799"/>
      </c:barChart>
      <c:catAx>
        <c:axId val="212895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964799"/>
        <c:crosses val="autoZero"/>
        <c:auto val="1"/>
        <c:lblAlgn val="ctr"/>
        <c:lblOffset val="100"/>
        <c:noMultiLvlLbl val="0"/>
      </c:catAx>
      <c:valAx>
        <c:axId val="2128964799"/>
        <c:scaling>
          <c:orientation val="minMax"/>
        </c:scaling>
        <c:delete val="1"/>
        <c:axPos val="l"/>
        <c:numFmt formatCode="0" sourceLinked="1"/>
        <c:majorTickMark val="none"/>
        <c:minorTickMark val="none"/>
        <c:tickLblPos val="nextTo"/>
        <c:crossAx val="212895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Report!PivotTable10</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750270186814884"/>
          <c:y val="9.3810898180592364E-2"/>
          <c:w val="0.45224100663887601"/>
          <c:h val="0.78679341322592644"/>
        </c:manualLayout>
      </c:layout>
      <c:pieChart>
        <c:varyColors val="1"/>
        <c:ser>
          <c:idx val="0"/>
          <c:order val="0"/>
          <c:tx>
            <c:strRef>
              <c:f>'Pivot Report'!$E$50</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03-4037-B867-2D669F38C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03-4037-B867-2D669F38CB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Report'!$D$51:$D$53</c:f>
              <c:strCache>
                <c:ptCount val="2"/>
                <c:pt idx="0">
                  <c:v>Delay</c:v>
                </c:pt>
                <c:pt idx="1">
                  <c:v>Ontime</c:v>
                </c:pt>
              </c:strCache>
            </c:strRef>
          </c:cat>
          <c:val>
            <c:numRef>
              <c:f>'Pivot Report'!$E$51:$E$53</c:f>
              <c:numCache>
                <c:formatCode>0</c:formatCode>
                <c:ptCount val="2"/>
                <c:pt idx="0">
                  <c:v>273</c:v>
                </c:pt>
                <c:pt idx="1">
                  <c:v>206</c:v>
                </c:pt>
              </c:numCache>
            </c:numRef>
          </c:val>
          <c:extLst>
            <c:ext xmlns:c16="http://schemas.microsoft.com/office/drawing/2014/chart" uri="{C3380CC4-5D6E-409C-BE32-E72D297353CC}">
              <c16:uniqueId val="{00000009-5B66-4C57-9797-FB36336C197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4.6808750669838015E-2"/>
          <c:w val="0.97701117566189188"/>
          <c:h val="0.1047250608729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Report!PivotTable11</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141527404558868"/>
          <c:y val="0.10008608244116181"/>
          <c:w val="0.53799736367288753"/>
          <c:h val="0.76247185690199815"/>
        </c:manualLayout>
      </c:layout>
      <c:doughnutChart>
        <c:varyColors val="1"/>
        <c:ser>
          <c:idx val="0"/>
          <c:order val="0"/>
          <c:tx>
            <c:strRef>
              <c:f>'Pivot Report'!$I$50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D7-46E3-B4DC-0DF95B6CCF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D7-46E3-B4DC-0DF95B6CCF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Report'!$H$51:$H$53</c:f>
              <c:strCache>
                <c:ptCount val="2"/>
                <c:pt idx="0">
                  <c:v>Female</c:v>
                </c:pt>
                <c:pt idx="1">
                  <c:v>Male</c:v>
                </c:pt>
              </c:strCache>
            </c:strRef>
          </c:cat>
          <c:val>
            <c:numRef>
              <c:f>'Pivot Report'!$I$51:$I$53</c:f>
              <c:numCache>
                <c:formatCode>0.00</c:formatCode>
                <c:ptCount val="2"/>
                <c:pt idx="0">
                  <c:v>235</c:v>
                </c:pt>
                <c:pt idx="1">
                  <c:v>244</c:v>
                </c:pt>
              </c:numCache>
            </c:numRef>
          </c:val>
          <c:extLst>
            <c:ext xmlns:c16="http://schemas.microsoft.com/office/drawing/2014/chart" uri="{C3380CC4-5D6E-409C-BE32-E72D297353CC}">
              <c16:uniqueId val="{00000009-A773-4698-9798-D75AC22417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3203740924703716E-2"/>
          <c:y val="5.7815689705453398E-4"/>
          <c:w val="0.91346331688841875"/>
          <c:h val="0.1113916291755329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Report!PivotTable12</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0804828745085"/>
          <c:y val="1.3291569260576676E-2"/>
          <c:w val="0.75622380810536105"/>
          <c:h val="0.98090531785643797"/>
        </c:manualLayout>
      </c:layout>
      <c:barChart>
        <c:barDir val="bar"/>
        <c:grouping val="clustered"/>
        <c:varyColors val="0"/>
        <c:ser>
          <c:idx val="0"/>
          <c:order val="0"/>
          <c:tx>
            <c:strRef>
              <c:f>'Pivot Report'!$L$50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Report'!$K$51:$K$59</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Report'!$L$51:$L$59</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5-C112-49FC-91DB-934CEADD3C54}"/>
            </c:ext>
          </c:extLst>
        </c:ser>
        <c:dLbls>
          <c:showLegendKey val="0"/>
          <c:showVal val="0"/>
          <c:showCatName val="0"/>
          <c:showSerName val="0"/>
          <c:showPercent val="0"/>
          <c:showBubbleSize val="0"/>
        </c:dLbls>
        <c:gapWidth val="100"/>
        <c:axId val="1985287167"/>
        <c:axId val="1985285727"/>
      </c:barChart>
      <c:catAx>
        <c:axId val="19852871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285727"/>
        <c:crosses val="autoZero"/>
        <c:auto val="1"/>
        <c:lblAlgn val="ctr"/>
        <c:lblOffset val="100"/>
        <c:noMultiLvlLbl val="0"/>
      </c:catAx>
      <c:valAx>
        <c:axId val="1985285727"/>
        <c:scaling>
          <c:orientation val="minMax"/>
        </c:scaling>
        <c:delete val="1"/>
        <c:axPos val="b"/>
        <c:numFmt formatCode="0" sourceLinked="1"/>
        <c:majorTickMark val="none"/>
        <c:minorTickMark val="none"/>
        <c:tickLblPos val="nextTo"/>
        <c:crossAx val="19852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Admitted</c:v>
              </c:pt>
              <c:pt idx="1">
                <c:v>Not Admitted</c:v>
              </c:pt>
            </c:strLit>
          </c:cat>
          <c:val>
            <c:numLit>
              <c:formatCode>General</c:formatCode>
              <c:ptCount val="2"/>
              <c:pt idx="0">
                <c:v>454</c:v>
              </c:pt>
              <c:pt idx="1">
                <c:v>494</c:v>
              </c:pt>
            </c:numLit>
          </c:val>
          <c:extLst>
            <c:ext xmlns:c16="http://schemas.microsoft.com/office/drawing/2014/chart" uri="{C3380CC4-5D6E-409C-BE32-E72D297353CC}">
              <c16:uniqueId val="{00000000-96A9-40B9-B7C0-8A0617CF8501}"/>
            </c:ext>
          </c:extLst>
        </c:ser>
        <c:ser>
          <c:idx val="1"/>
          <c:order val="1"/>
          <c:tx>
            <c:v>Series2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Admitted</c:v>
              </c:pt>
              <c:pt idx="1">
                <c:v>Not Admitted</c:v>
              </c:pt>
            </c:strLit>
          </c:cat>
          <c:val>
            <c:numLit>
              <c:formatCode>General</c:formatCode>
              <c:ptCount val="2"/>
              <c:pt idx="0">
                <c:v>0.47890295358649787</c:v>
              </c:pt>
              <c:pt idx="1">
                <c:v>0.52109704641350207</c:v>
              </c:pt>
            </c:numLit>
          </c:val>
          <c:extLst>
            <c:ext xmlns:c16="http://schemas.microsoft.com/office/drawing/2014/chart" uri="{C3380CC4-5D6E-409C-BE32-E72D297353CC}">
              <c16:uniqueId val="{00000001-96A9-40B9-B7C0-8A0617CF8501}"/>
            </c:ext>
          </c:extLst>
        </c:ser>
        <c:dLbls>
          <c:showLegendKey val="0"/>
          <c:showVal val="0"/>
          <c:showCatName val="0"/>
          <c:showSerName val="0"/>
          <c:showPercent val="0"/>
          <c:showBubbleSize val="0"/>
        </c:dLbls>
        <c:gapWidth val="115"/>
        <c:overlap val="-20"/>
        <c:axId val="1985297727"/>
        <c:axId val="1299806447"/>
      </c:barChart>
      <c:catAx>
        <c:axId val="1985297727"/>
        <c:scaling>
          <c:orientation val="minMax"/>
        </c:scaling>
        <c:delete val="1"/>
        <c:axPos val="l"/>
        <c:numFmt formatCode="General" sourceLinked="1"/>
        <c:majorTickMark val="none"/>
        <c:minorTickMark val="none"/>
        <c:tickLblPos val="nextTo"/>
        <c:crossAx val="1299806447"/>
        <c:crosses val="autoZero"/>
        <c:auto val="1"/>
        <c:lblAlgn val="ctr"/>
        <c:lblOffset val="100"/>
        <c:noMultiLvlLbl val="0"/>
      </c:catAx>
      <c:valAx>
        <c:axId val="1299806447"/>
        <c:scaling>
          <c:orientation val="minMax"/>
        </c:scaling>
        <c:delete val="1"/>
        <c:axPos val="b"/>
        <c:numFmt formatCode="General" sourceLinked="1"/>
        <c:majorTickMark val="none"/>
        <c:minorTickMark val="none"/>
        <c:tickLblPos val="nextTo"/>
        <c:crossAx val="198529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454718-D898-4045-86A5-C1FBCB2B384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F27C5C-DFCE-463F-8087-1C3DCCCD03A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F27C5C-DFCE-463F-8087-1C3DCCCD03A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454718-D898-4045-86A5-C1FBCB2B384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0F27C5C-DFCE-463F-8087-1C3DCCCD03A9}" type="CELLRANGE">
                  <a:rPr lang="en-US" sz="8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0454718-D898-4045-86A5-C1FBCB2B3845}" type="CELLRANGE">
                  <a:rPr lang="en-US" sz="8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0F27C5C-DFCE-463F-8087-1C3DCCCD03A9}" type="CELLRANGE">
                  <a:rPr lang="en-US" sz="8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0454718-D898-4045-86A5-C1FBCB2B3845}" type="CELLRANGE">
                  <a:rPr lang="en-US" sz="8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7"/>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0F27C5C-DFCE-463F-8087-1C3DCCCD03A9}" type="CELLRANGE">
                  <a:rPr lang="en-US" sz="8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8"/>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0454718-D898-4045-86A5-C1FBCB2B3845}" type="CELLRANGE">
                  <a:rPr lang="en-US" sz="8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04936374983762"/>
          <c:y val="3.8906539907475716E-2"/>
          <c:w val="0.76630387511084253"/>
          <c:h val="0.61974028206068899"/>
        </c:manualLayout>
      </c:layout>
      <c:barChart>
        <c:barDir val="bar"/>
        <c:grouping val="clustered"/>
        <c:varyColors val="0"/>
        <c:ser>
          <c:idx val="0"/>
          <c:order val="0"/>
          <c:tx>
            <c:strRef>
              <c:f>'Pivot Report'!$B$17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966-437D-9844-F03FC047E55A}"/>
              </c:ext>
            </c:extLst>
          </c:dPt>
          <c:dPt>
            <c:idx val="1"/>
            <c:invertIfNegative val="0"/>
            <c:bubble3D val="0"/>
            <c:extLst>
              <c:ext xmlns:c16="http://schemas.microsoft.com/office/drawing/2014/chart" uri="{C3380CC4-5D6E-409C-BE32-E72D297353CC}">
                <c16:uniqueId val="{00000001-3966-437D-9844-F03FC047E55A}"/>
              </c:ext>
            </c:extLst>
          </c:dPt>
          <c:dLbls>
            <c:dLbl>
              <c:idx val="0"/>
              <c:tx>
                <c:rich>
                  <a:bodyPr/>
                  <a:lstStyle/>
                  <a:p>
                    <a:fld id="{E0F27C5C-DFCE-463F-8087-1C3DCCCD03A9}"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966-437D-9844-F03FC047E55A}"/>
                </c:ext>
              </c:extLst>
            </c:dLbl>
            <c:dLbl>
              <c:idx val="1"/>
              <c:tx>
                <c:rich>
                  <a:bodyPr/>
                  <a:lstStyle/>
                  <a:p>
                    <a:fld id="{B0454718-D898-4045-86A5-C1FBCB2B3845}"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66-437D-9844-F03FC047E55A}"/>
                </c:ext>
              </c:extLst>
            </c:dLbl>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Report'!$A$18:$A$20</c:f>
              <c:strCache>
                <c:ptCount val="2"/>
                <c:pt idx="0">
                  <c:v>Admitted</c:v>
                </c:pt>
                <c:pt idx="1">
                  <c:v>Not Admitted</c:v>
                </c:pt>
              </c:strCache>
            </c:strRef>
          </c:cat>
          <c:val>
            <c:numRef>
              <c:f>'Pivot Report'!$B$18:$B$20</c:f>
              <c:numCache>
                <c:formatCode>0.00</c:formatCode>
                <c:ptCount val="2"/>
                <c:pt idx="0">
                  <c:v>237</c:v>
                </c:pt>
                <c:pt idx="1">
                  <c:v>242</c:v>
                </c:pt>
              </c:numCache>
            </c:numRef>
          </c:val>
          <c:extLst>
            <c:ext xmlns:c16="http://schemas.microsoft.com/office/drawing/2014/chart" uri="{C3380CC4-5D6E-409C-BE32-E72D297353CC}">
              <c16:uniqueId val="{0000000C-7852-44DA-A492-A322571CD230}"/>
            </c:ext>
          </c:extLst>
        </c:ser>
        <c:ser>
          <c:idx val="1"/>
          <c:order val="1"/>
          <c:tx>
            <c:strRef>
              <c:f>'Pivot Report'!$C$17</c:f>
              <c:strCache>
                <c:ptCount val="1"/>
                <c:pt idx="0">
                  <c:v>Count of Patient Admission Flag2</c:v>
                </c:pt>
              </c:strCache>
            </c:strRef>
          </c:tx>
          <c:spPr>
            <a:solidFill>
              <a:schemeClr val="accent2"/>
            </a:solidFill>
            <a:ln>
              <a:noFill/>
            </a:ln>
            <a:effectLst/>
          </c:spPr>
          <c:invertIfNegative val="0"/>
          <c:cat>
            <c:strRef>
              <c:f>'Pivot Report'!$A$18:$A$20</c:f>
              <c:strCache>
                <c:ptCount val="2"/>
                <c:pt idx="0">
                  <c:v>Admitted</c:v>
                </c:pt>
                <c:pt idx="1">
                  <c:v>Not Admitted</c:v>
                </c:pt>
              </c:strCache>
            </c:strRef>
          </c:cat>
          <c:val>
            <c:numRef>
              <c:f>'Pivot Report'!$C$18:$C$20</c:f>
              <c:numCache>
                <c:formatCode>0.00%</c:formatCode>
                <c:ptCount val="2"/>
                <c:pt idx="0">
                  <c:v>0.49478079331941544</c:v>
                </c:pt>
                <c:pt idx="1">
                  <c:v>0.50521920668058451</c:v>
                </c:pt>
              </c:numCache>
            </c:numRef>
          </c:val>
          <c:extLst>
            <c:ext xmlns:c16="http://schemas.microsoft.com/office/drawing/2014/chart" uri="{C3380CC4-5D6E-409C-BE32-E72D297353CC}">
              <c16:uniqueId val="{0000000D-7852-44DA-A492-A322571CD230}"/>
            </c:ext>
          </c:extLst>
        </c:ser>
        <c:dLbls>
          <c:showLegendKey val="0"/>
          <c:showVal val="0"/>
          <c:showCatName val="0"/>
          <c:showSerName val="0"/>
          <c:showPercent val="0"/>
          <c:showBubbleSize val="0"/>
        </c:dLbls>
        <c:gapWidth val="182"/>
        <c:axId val="2128908159"/>
        <c:axId val="2128907199"/>
      </c:barChart>
      <c:catAx>
        <c:axId val="2128908159"/>
        <c:scaling>
          <c:orientation val="minMax"/>
        </c:scaling>
        <c:delete val="1"/>
        <c:axPos val="l"/>
        <c:numFmt formatCode="General" sourceLinked="1"/>
        <c:majorTickMark val="out"/>
        <c:minorTickMark val="none"/>
        <c:tickLblPos val="nextTo"/>
        <c:crossAx val="2128907199"/>
        <c:crosses val="autoZero"/>
        <c:auto val="1"/>
        <c:lblAlgn val="ctr"/>
        <c:lblOffset val="100"/>
        <c:noMultiLvlLbl val="0"/>
      </c:catAx>
      <c:valAx>
        <c:axId val="212890719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9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4-592D-4D09-967C-EA03B15FDCF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Report!PivotTable2</c:name>
    <c:fmtId val="2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451754622636668"/>
          <c:h val="0.98997707354223641"/>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4-8311-4527-87C1-08C40EA30EA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9000784"/>
        <c:axId val="188999344"/>
      </c:areaChart>
      <c:catAx>
        <c:axId val="1890007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999344"/>
        <c:crosses val="autoZero"/>
        <c:auto val="1"/>
        <c:lblAlgn val="ctr"/>
        <c:lblOffset val="100"/>
        <c:noMultiLvlLbl val="0"/>
      </c:catAx>
      <c:valAx>
        <c:axId val="188999344"/>
        <c:scaling>
          <c:orientation val="minMax"/>
        </c:scaling>
        <c:delete val="1"/>
        <c:axPos val="l"/>
        <c:numFmt formatCode="0.00" sourceLinked="1"/>
        <c:majorTickMark val="out"/>
        <c:minorTickMark val="none"/>
        <c:tickLblPos val="nextTo"/>
        <c:crossAx val="189000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222.xlsx]Pivot Report!PivotTable4</c:name>
    <c:fmtId val="2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114042319318495E-2"/>
          <c:y val="1.0694758231621727E-2"/>
          <c:w val="0.96977191536136298"/>
          <c:h val="0.90220980441960885"/>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Report'!$N$5:$N$35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40EB-4B50-A89F-0FCF1E124D76}"/>
            </c:ext>
          </c:extLst>
        </c:ser>
        <c:dLbls>
          <c:showLegendKey val="0"/>
          <c:showVal val="0"/>
          <c:showCatName val="0"/>
          <c:showSerName val="0"/>
          <c:showPercent val="0"/>
          <c:showBubbleSize val="0"/>
        </c:dLbls>
        <c:axId val="1183797120"/>
        <c:axId val="1183795200"/>
      </c:areaChart>
      <c:catAx>
        <c:axId val="1183797120"/>
        <c:scaling>
          <c:orientation val="minMax"/>
        </c:scaling>
        <c:delete val="1"/>
        <c:axPos val="b"/>
        <c:numFmt formatCode="General" sourceLinked="1"/>
        <c:majorTickMark val="out"/>
        <c:minorTickMark val="none"/>
        <c:tickLblPos val="nextTo"/>
        <c:crossAx val="1183795200"/>
        <c:crosses val="autoZero"/>
        <c:auto val="1"/>
        <c:lblAlgn val="ctr"/>
        <c:lblOffset val="100"/>
        <c:noMultiLvlLbl val="0"/>
      </c:catAx>
      <c:valAx>
        <c:axId val="1183795200"/>
        <c:scaling>
          <c:orientation val="minMax"/>
        </c:scaling>
        <c:delete val="1"/>
        <c:axPos val="l"/>
        <c:numFmt formatCode="0.00" sourceLinked="1"/>
        <c:majorTickMark val="none"/>
        <c:minorTickMark val="none"/>
        <c:tickLblPos val="nextTo"/>
        <c:crossAx val="1183797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108857</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100251"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134983</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182983" y="60960"/>
          <a:ext cx="1119051"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91440</xdr:colOff>
      <xdr:row>0</xdr:row>
      <xdr:rowOff>26127</xdr:rowOff>
    </xdr:from>
    <xdr:to>
      <xdr:col>9</xdr:col>
      <xdr:colOff>600891</xdr:colOff>
      <xdr:row>6</xdr:row>
      <xdr:rowOff>143691</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0" y="26127"/>
          <a:ext cx="1728651" cy="1214844"/>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10</xdr:col>
      <xdr:colOff>21771</xdr:colOff>
      <xdr:row>0</xdr:row>
      <xdr:rowOff>60959</xdr:rowOff>
    </xdr:from>
    <xdr:to>
      <xdr:col>12</xdr:col>
      <xdr:colOff>600891</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6117771" y="60959"/>
          <a:ext cx="179832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283029</xdr:colOff>
      <xdr:row>1</xdr:row>
      <xdr:rowOff>39189</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3064" cy="3048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100148</xdr:colOff>
      <xdr:row>7</xdr:row>
      <xdr:rowOff>13063</xdr:rowOff>
    </xdr:from>
    <xdr:to>
      <xdr:col>12</xdr:col>
      <xdr:colOff>548639</xdr:colOff>
      <xdr:row>15</xdr:row>
      <xdr:rowOff>139337</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8" y="1293223"/>
          <a:ext cx="3496491" cy="1589314"/>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479</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34.90</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5.30</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69668</xdr:colOff>
      <xdr:row>3</xdr:row>
      <xdr:rowOff>104502</xdr:rowOff>
    </xdr:from>
    <xdr:to>
      <xdr:col>1</xdr:col>
      <xdr:colOff>82730</xdr:colOff>
      <xdr:row>15</xdr:row>
      <xdr:rowOff>91440</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9668" y="653142"/>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156754</xdr:colOff>
      <xdr:row>5</xdr:row>
      <xdr:rowOff>126272</xdr:rowOff>
    </xdr:from>
    <xdr:to>
      <xdr:col>5</xdr:col>
      <xdr:colOff>82731</xdr:colOff>
      <xdr:row>7</xdr:row>
      <xdr:rowOff>60959</xdr:rowOff>
    </xdr:to>
    <xdr:graphicFrame macro="">
      <xdr:nvGraphicFramePr>
        <xdr:cNvPr id="3" name="Chart 2">
          <a:hlinkClick xmlns:r="http://schemas.openxmlformats.org/officeDocument/2006/relationships" r:id="rId10"/>
          <a:extLst>
            <a:ext uri="{FF2B5EF4-FFF2-40B4-BE49-F238E27FC236}">
              <a16:creationId xmlns:a16="http://schemas.microsoft.com/office/drawing/2014/main" id="{28A5CCA7-648E-49CA-A20D-E3265DA6A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165462</xdr:colOff>
      <xdr:row>5</xdr:row>
      <xdr:rowOff>47895</xdr:rowOff>
    </xdr:from>
    <xdr:to>
      <xdr:col>7</xdr:col>
      <xdr:colOff>13064</xdr:colOff>
      <xdr:row>7</xdr:row>
      <xdr:rowOff>82730</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617E5DFC-EB7A-41D1-9D02-FEA2EEF2C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182880</xdr:colOff>
      <xdr:row>7</xdr:row>
      <xdr:rowOff>100148</xdr:rowOff>
    </xdr:from>
    <xdr:to>
      <xdr:col>7</xdr:col>
      <xdr:colOff>26125</xdr:colOff>
      <xdr:row>9</xdr:row>
      <xdr:rowOff>152400</xdr:rowOff>
    </xdr:to>
    <xdr:pic>
      <xdr:nvPicPr>
        <xdr:cNvPr id="16" name="Picture 15">
          <a:extLst>
            <a:ext uri="{FF2B5EF4-FFF2-40B4-BE49-F238E27FC236}">
              <a16:creationId xmlns:a16="http://schemas.microsoft.com/office/drawing/2014/main" id="{E1DA44EA-7407-DD3C-60A3-3B2D2288EA8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92480" y="1380308"/>
          <a:ext cx="3500845" cy="418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204651</xdr:colOff>
      <xdr:row>10</xdr:row>
      <xdr:rowOff>4353</xdr:rowOff>
    </xdr:from>
    <xdr:to>
      <xdr:col>7</xdr:col>
      <xdr:colOff>26126</xdr:colOff>
      <xdr:row>15</xdr:row>
      <xdr:rowOff>78376</xdr:rowOff>
    </xdr:to>
    <xdr:graphicFrame macro="">
      <xdr:nvGraphicFramePr>
        <xdr:cNvPr id="17" name="Chart 16">
          <a:extLst>
            <a:ext uri="{FF2B5EF4-FFF2-40B4-BE49-F238E27FC236}">
              <a16:creationId xmlns:a16="http://schemas.microsoft.com/office/drawing/2014/main" id="{14EC2EBA-75FD-47AC-AE22-0F3844CA2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544286</xdr:colOff>
      <xdr:row>14</xdr:row>
      <xdr:rowOff>113211</xdr:rowOff>
    </xdr:from>
    <xdr:to>
      <xdr:col>4</xdr:col>
      <xdr:colOff>522515</xdr:colOff>
      <xdr:row>15</xdr:row>
      <xdr:rowOff>65314</xdr:rowOff>
    </xdr:to>
    <xdr:sp macro="" textlink="">
      <xdr:nvSpPr>
        <xdr:cNvPr id="18" name="TextBox 17">
          <a:extLst>
            <a:ext uri="{FF2B5EF4-FFF2-40B4-BE49-F238E27FC236}">
              <a16:creationId xmlns:a16="http://schemas.microsoft.com/office/drawing/2014/main" id="{DAD6033B-49E2-4542-81B5-7A14D1B5C3D4}"/>
            </a:ext>
          </a:extLst>
        </xdr:cNvPr>
        <xdr:cNvSpPr txBox="1"/>
      </xdr:nvSpPr>
      <xdr:spPr>
        <a:xfrm>
          <a:off x="1763486" y="2673531"/>
          <a:ext cx="1197429" cy="13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 by age group</a:t>
          </a:r>
        </a:p>
        <a:p>
          <a:pPr algn="ctr"/>
          <a:endParaRPr lang="en-IN" sz="800" kern="1200"/>
        </a:p>
        <a:p>
          <a:pPr algn="ctr"/>
          <a:endParaRPr lang="en-IN" sz="800" kern="1200"/>
        </a:p>
      </xdr:txBody>
    </xdr:sp>
    <xdr:clientData/>
  </xdr:twoCellAnchor>
  <xdr:twoCellAnchor>
    <xdr:from>
      <xdr:col>7</xdr:col>
      <xdr:colOff>95794</xdr:colOff>
      <xdr:row>0</xdr:row>
      <xdr:rowOff>52251</xdr:rowOff>
    </xdr:from>
    <xdr:to>
      <xdr:col>9</xdr:col>
      <xdr:colOff>579120</xdr:colOff>
      <xdr:row>6</xdr:row>
      <xdr:rowOff>169817</xdr:rowOff>
    </xdr:to>
    <xdr:graphicFrame macro="">
      <xdr:nvGraphicFramePr>
        <xdr:cNvPr id="19" name="Chart 18">
          <a:extLst>
            <a:ext uri="{FF2B5EF4-FFF2-40B4-BE49-F238E27FC236}">
              <a16:creationId xmlns:a16="http://schemas.microsoft.com/office/drawing/2014/main" id="{19166BF5-B938-43BA-8F0A-C3112BCC7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100149</xdr:colOff>
      <xdr:row>5</xdr:row>
      <xdr:rowOff>143691</xdr:rowOff>
    </xdr:from>
    <xdr:to>
      <xdr:col>9</xdr:col>
      <xdr:colOff>13064</xdr:colOff>
      <xdr:row>6</xdr:row>
      <xdr:rowOff>95795</xdr:rowOff>
    </xdr:to>
    <xdr:sp macro="" textlink="">
      <xdr:nvSpPr>
        <xdr:cNvPr id="20" name="TextBox 19">
          <a:extLst>
            <a:ext uri="{FF2B5EF4-FFF2-40B4-BE49-F238E27FC236}">
              <a16:creationId xmlns:a16="http://schemas.microsoft.com/office/drawing/2014/main" id="{3D096FF1-DF6F-4F28-9AB0-D3DF9BEE4E67}"/>
            </a:ext>
          </a:extLst>
        </xdr:cNvPr>
        <xdr:cNvSpPr txBox="1"/>
      </xdr:nvSpPr>
      <xdr:spPr>
        <a:xfrm>
          <a:off x="4367349" y="1058091"/>
          <a:ext cx="1132115" cy="134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a:t>
          </a:r>
          <a:r>
            <a:rPr lang="en-IN" sz="800" kern="1200" baseline="0"/>
            <a:t> Attend status</a:t>
          </a:r>
        </a:p>
        <a:p>
          <a:pPr algn="ctr"/>
          <a:endParaRPr lang="en-IN" sz="800" kern="1200"/>
        </a:p>
      </xdr:txBody>
    </xdr:sp>
    <xdr:clientData/>
  </xdr:twoCellAnchor>
  <xdr:twoCellAnchor>
    <xdr:from>
      <xdr:col>10</xdr:col>
      <xdr:colOff>13063</xdr:colOff>
      <xdr:row>0</xdr:row>
      <xdr:rowOff>26126</xdr:rowOff>
    </xdr:from>
    <xdr:to>
      <xdr:col>12</xdr:col>
      <xdr:colOff>583474</xdr:colOff>
      <xdr:row>7</xdr:row>
      <xdr:rowOff>8709</xdr:rowOff>
    </xdr:to>
    <xdr:graphicFrame macro="">
      <xdr:nvGraphicFramePr>
        <xdr:cNvPr id="21" name="Chart 20">
          <a:extLst>
            <a:ext uri="{FF2B5EF4-FFF2-40B4-BE49-F238E27FC236}">
              <a16:creationId xmlns:a16="http://schemas.microsoft.com/office/drawing/2014/main" id="{F41105CA-2C67-43DA-82A4-0043BD13C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78377</xdr:colOff>
      <xdr:row>7</xdr:row>
      <xdr:rowOff>39189</xdr:rowOff>
    </xdr:from>
    <xdr:to>
      <xdr:col>13</xdr:col>
      <xdr:colOff>13064</xdr:colOff>
      <xdr:row>15</xdr:row>
      <xdr:rowOff>143692</xdr:rowOff>
    </xdr:to>
    <xdr:graphicFrame macro="">
      <xdr:nvGraphicFramePr>
        <xdr:cNvPr id="26" name="Chart 25">
          <a:extLst>
            <a:ext uri="{FF2B5EF4-FFF2-40B4-BE49-F238E27FC236}">
              <a16:creationId xmlns:a16="http://schemas.microsoft.com/office/drawing/2014/main" id="{C994DAD4-7A83-4F0A-A7DC-8230C2A6D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126274</xdr:colOff>
      <xdr:row>0</xdr:row>
      <xdr:rowOff>60960</xdr:rowOff>
    </xdr:from>
    <xdr:to>
      <xdr:col>7</xdr:col>
      <xdr:colOff>52252</xdr:colOff>
      <xdr:row>3</xdr:row>
      <xdr:rowOff>8709</xdr:rowOff>
    </xdr:to>
    <mc:AlternateContent xmlns:mc="http://schemas.openxmlformats.org/markup-compatibility/2006" xmlns:a14="http://schemas.microsoft.com/office/drawing/2010/main">
      <mc:Choice Requires="a14">
        <xdr:graphicFrame macro="">
          <xdr:nvGraphicFramePr>
            <xdr:cNvPr id="28" name="Date (Year)">
              <a:extLst>
                <a:ext uri="{FF2B5EF4-FFF2-40B4-BE49-F238E27FC236}">
                  <a16:creationId xmlns:a16="http://schemas.microsoft.com/office/drawing/2014/main" id="{04E7A3EE-59E7-4C41-87FF-D0643D50229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74274" y="60960"/>
              <a:ext cx="1145178" cy="496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0.02839</cdr:x>
      <cdr:y>0.85862</cdr:y>
    </cdr:from>
    <cdr:to>
      <cdr:x>0.66099</cdr:x>
      <cdr:y>1</cdr:y>
    </cdr:to>
    <cdr:sp macro="" textlink="">
      <cdr:nvSpPr>
        <cdr:cNvPr id="2" name="TextBox 33">
          <a:extLst xmlns:a="http://schemas.openxmlformats.org/drawingml/2006/main">
            <a:ext uri="{FF2B5EF4-FFF2-40B4-BE49-F238E27FC236}">
              <a16:creationId xmlns:a16="http://schemas.microsoft.com/office/drawing/2014/main" id="{9F740260-D36A-EDE7-0D62-FFE8F5186843}"/>
            </a:ext>
          </a:extLst>
        </cdr:cNvPr>
        <cdr:cNvSpPr txBox="1"/>
      </cdr:nvSpPr>
      <cdr:spPr>
        <a:xfrm xmlns:a="http://schemas.openxmlformats.org/drawingml/2006/main">
          <a:off x="50800" y="1084217"/>
          <a:ext cx="1132115" cy="17852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kern="1200"/>
            <a:t>Gender</a:t>
          </a:r>
          <a:r>
            <a:rPr lang="en-IN" sz="800" kern="1200" baseline="0"/>
            <a:t>  wise analysis</a:t>
          </a:r>
        </a:p>
        <a:p xmlns:a="http://schemas.openxmlformats.org/drawingml/2006/main">
          <a:pPr algn="ctr"/>
          <a:endParaRPr lang="en-IN" sz="800" kern="1200"/>
        </a:p>
      </cdr:txBody>
    </cdr:sp>
  </cdr:relSizeAnchor>
</c:userShapes>
</file>

<file path=xl/drawings/drawing3.xml><?xml version="1.0" encoding="utf-8"?>
<c:userShapes xmlns:c="http://schemas.openxmlformats.org/drawingml/2006/chart">
  <cdr:relSizeAnchor xmlns:cdr="http://schemas.openxmlformats.org/drawingml/2006/chartDrawing">
    <cdr:from>
      <cdr:x>0.33091</cdr:x>
      <cdr:y>0.51667</cdr:y>
    </cdr:from>
    <cdr:to>
      <cdr:x>0.88121</cdr:x>
      <cdr:y>0.65278</cdr:y>
    </cdr:to>
    <cdr:sp macro="" textlink="">
      <cdr:nvSpPr>
        <cdr:cNvPr id="2" name="TextBox 33">
          <a:extLst xmlns:a="http://schemas.openxmlformats.org/drawingml/2006/main">
            <a:ext uri="{FF2B5EF4-FFF2-40B4-BE49-F238E27FC236}">
              <a16:creationId xmlns:a16="http://schemas.microsoft.com/office/drawing/2014/main" id="{9F740260-D36A-EDE7-0D62-FFE8F5186843}"/>
            </a:ext>
          </a:extLst>
        </cdr:cNvPr>
        <cdr:cNvSpPr txBox="1"/>
      </cdr:nvSpPr>
      <cdr:spPr>
        <a:xfrm xmlns:a="http://schemas.openxmlformats.org/drawingml/2006/main">
          <a:off x="1188720" y="809896"/>
          <a:ext cx="1976846" cy="21336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kern="1200"/>
            <a:t>No. of patient</a:t>
          </a:r>
          <a:r>
            <a:rPr lang="en-IN" sz="800" kern="1200" baseline="0"/>
            <a:t> by departement referal</a:t>
          </a:r>
          <a:endParaRPr lang="en-IN" sz="8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1591235</xdr:colOff>
      <xdr:row>7</xdr:row>
      <xdr:rowOff>171823</xdr:rowOff>
    </xdr:from>
    <xdr:to>
      <xdr:col>11</xdr:col>
      <xdr:colOff>78441</xdr:colOff>
      <xdr:row>23</xdr:row>
      <xdr:rowOff>168835</xdr:rowOff>
    </xdr:to>
    <xdr:graphicFrame macro="">
      <xdr:nvGraphicFramePr>
        <xdr:cNvPr id="3" name="Chart 2" hidden="1">
          <a:extLst>
            <a:ext uri="{FF2B5EF4-FFF2-40B4-BE49-F238E27FC236}">
              <a16:creationId xmlns:a16="http://schemas.microsoft.com/office/drawing/2014/main" id="{3A403A53-EBF9-2971-3DF3-FBA37FA70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43</xdr:row>
      <xdr:rowOff>29882</xdr:rowOff>
    </xdr:from>
    <xdr:to>
      <xdr:col>4</xdr:col>
      <xdr:colOff>410882</xdr:colOff>
      <xdr:row>46</xdr:row>
      <xdr:rowOff>0</xdr:rowOff>
    </xdr:to>
    <xdr:graphicFrame macro="">
      <xdr:nvGraphicFramePr>
        <xdr:cNvPr id="8" name="Chart 7">
          <a:extLst>
            <a:ext uri="{FF2B5EF4-FFF2-40B4-BE49-F238E27FC236}">
              <a16:creationId xmlns:a16="http://schemas.microsoft.com/office/drawing/2014/main" id="{74B515ED-2714-416F-B9A3-EF9A6B19D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76200</xdr:rowOff>
    </xdr:from>
    <xdr:to>
      <xdr:col>18</xdr:col>
      <xdr:colOff>525780</xdr:colOff>
      <xdr:row>23</xdr:row>
      <xdr:rowOff>0</xdr:rowOff>
    </xdr:to>
    <xdr:graphicFrame macro="">
      <xdr:nvGraphicFramePr>
        <xdr:cNvPr id="2" name="Chart 1">
          <a:extLst>
            <a:ext uri="{FF2B5EF4-FFF2-40B4-BE49-F238E27FC236}">
              <a16:creationId xmlns:a16="http://schemas.microsoft.com/office/drawing/2014/main" id="{CA2AEE6F-A284-4176-B327-64053B82B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1</xdr:row>
      <xdr:rowOff>22860</xdr:rowOff>
    </xdr:from>
    <xdr:to>
      <xdr:col>15</xdr:col>
      <xdr:colOff>106680</xdr:colOff>
      <xdr:row>25</xdr:row>
      <xdr:rowOff>121920</xdr:rowOff>
    </xdr:to>
    <xdr:graphicFrame macro="">
      <xdr:nvGraphicFramePr>
        <xdr:cNvPr id="3" name="Chart 2">
          <a:extLst>
            <a:ext uri="{FF2B5EF4-FFF2-40B4-BE49-F238E27FC236}">
              <a16:creationId xmlns:a16="http://schemas.microsoft.com/office/drawing/2014/main" id="{1B52A884-455A-4794-B7E4-E4FDD52F5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6759263" createdVersion="5" refreshedVersion="8" minRefreshableVersion="3" recordCount="0" supportSubquery="1" supportAdvancedDrill="1" xr:uid="{95AC6C11-972D-4A1C-84DF-64437728687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6875001" createdVersion="5" refreshedVersion="8" minRefreshableVersion="3" recordCount="0" supportSubquery="1" supportAdvancedDrill="1" xr:uid="{0AA6E62F-DC73-4878-988E-2A361726DF0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6875001" createdVersion="5" refreshedVersion="8" minRefreshableVersion="3" recordCount="0" supportSubquery="1" supportAdvancedDrill="1" xr:uid="{7F9536EE-73C4-4E62-98F5-A2E60FAF89A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7106478" createdVersion="5" refreshedVersion="8" minRefreshableVersion="3" recordCount="0" supportSubquery="1" supportAdvancedDrill="1" xr:uid="{8AEE3370-BC49-40A2-8687-67DADA00FBD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7569448" createdVersion="5" refreshedVersion="8" minRefreshableVersion="3" recordCount="0" supportSubquery="1" supportAdvancedDrill="1" xr:uid="{C74919D7-3271-4D04-8828-2FF05C61EFA3}">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8148148" createdVersion="5" refreshedVersion="8" minRefreshableVersion="3" recordCount="0" supportSubquery="1" supportAdvancedDrill="1" xr:uid="{5FA58298-DE80-400E-80CC-2B3C423E6065}">
  <cacheSource type="external" connectionId="3"/>
  <cacheFields count="4">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8726849" createdVersion="5" refreshedVersion="8" minRefreshableVersion="3" recordCount="0" supportSubquery="1" supportAdvancedDrill="1" xr:uid="{E88D1544-6A34-408D-B077-8AEB09E61F0A}">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9305557" createdVersion="5" refreshedVersion="8" minRefreshableVersion="3" recordCount="0" supportSubquery="1" supportAdvancedDrill="1" xr:uid="{3C1D3C51-7543-4DC2-A224-31EBA819AE6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49884257" createdVersion="5" refreshedVersion="8" minRefreshableVersion="3" recordCount="0" supportSubquery="1" supportAdvancedDrill="1" xr:uid="{8CD5F068-5685-4703-90A3-815E8868DB5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50462965" createdVersion="5" refreshedVersion="8" minRefreshableVersion="3" recordCount="0" supportSubquery="1" supportAdvancedDrill="1" xr:uid="{5E05B7A3-43EA-4FC7-855A-2C401205B44E}">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50925927" createdVersion="5" refreshedVersion="8" minRefreshableVersion="3" recordCount="0" supportSubquery="1" supportAdvancedDrill="1" xr:uid="{05AAE622-5C71-48A1-8ADF-BD6E528C4B92}">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12751620373" createdVersion="5" refreshedVersion="8" minRefreshableVersion="3" recordCount="0" supportSubquery="1" supportAdvancedDrill="1" xr:uid="{4B98B399-5F0E-43A7-AA7E-EBC769229CD5}">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02751388887" createdVersion="3" refreshedVersion="8" minRefreshableVersion="3" recordCount="0" supportSubquery="1" supportAdvancedDrill="1" xr:uid="{E7868EA6-A203-4E18-848C-840C022E9F2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5905328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parvat" refreshedDate="46056.905475462961" createdVersion="3" refreshedVersion="8" minRefreshableVersion="3" recordCount="0" supportSubquery="1" supportAdvancedDrill="1" xr:uid="{2B1146B5-0FFC-4075-AC79-14586D35064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080244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3"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B3D4D-5AAA-43C1-B6DF-97DA3FE2DB30}" name="PivotTable10" cacheId="8"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0">
  <location ref="D50:E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3">
      <pivotArea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D76B5-41DF-4CEE-B1D9-C735E3CCFAA9}" name="PivotTable2" cacheId="4" applyNumberFormats="0" applyBorderFormats="0" applyFontFormats="0" applyPatternFormats="0" applyAlignmentFormats="0" applyWidthHeightFormats="1" dataCaption="Values" tag="060bae11-4bd9-4b57-8854-cc04deb3768e" updatedVersion="8" minRefreshableVersion="3" subtotalHiddenItems="1" itemPrintTitles="1" createdVersion="5" indent="0" outline="1" outlineData="1" multipleFieldFilters="0" chartFormat="224">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4">
      <pivotArea outline="0" collapsedLevelsAreSubtotals="1" fieldPosition="0"/>
    </format>
  </formats>
  <chartFormats count="3">
    <chartFormat chart="215" format="2" series="1">
      <pivotArea type="data" outline="0" fieldPosition="0">
        <references count="1">
          <reference field="4294967294" count="1" selected="0">
            <x v="0"/>
          </reference>
        </references>
      </pivotArea>
    </chartFormat>
    <chartFormat chart="217" format="4" series="1">
      <pivotArea type="data" outline="0" fieldPosition="0">
        <references count="1">
          <reference field="4294967294" count="1" selected="0">
            <x v="0"/>
          </reference>
        </references>
      </pivotArea>
    </chartFormat>
    <chartFormat chart="222"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5ED5B1-7CDA-4DEE-A1A1-B0D278B03C21}" name="PivotTable8" cacheId="7"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6">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1">
    <format dxfId="15">
      <pivotArea outline="0" collapsedLevelsAreSubtotals="1" fieldPosition="0"/>
    </format>
    <format dxfId="14">
      <pivotArea collapsedLevelsAreSubtotals="1" fieldPosition="0">
        <references count="1">
          <reference field="1" count="0"/>
        </references>
      </pivotArea>
    </format>
    <format dxfId="13">
      <pivotArea collapsedLevelsAreSubtotals="1" fieldPosition="0">
        <references count="1">
          <reference field="1" count="0"/>
        </references>
      </pivotArea>
    </format>
    <format dxfId="12">
      <pivotArea collapsedLevelsAreSubtotals="1" fieldPosition="0">
        <references count="1">
          <reference field="1" count="0"/>
        </references>
      </pivotArea>
    </format>
    <format dxfId="11">
      <pivotArea collapsedLevelsAreSubtotals="1" fieldPosition="0">
        <references count="1">
          <reference field="1" count="0"/>
        </references>
      </pivotArea>
    </format>
    <format dxfId="10">
      <pivotArea collapsedLevelsAreSubtotals="1" fieldPosition="0">
        <references count="1">
          <reference field="1" count="0"/>
        </references>
      </pivotArea>
    </format>
    <format dxfId="9">
      <pivotArea collapsedLevelsAreSubtotals="1" fieldPosition="0">
        <references count="1">
          <reference field="1" count="0"/>
        </references>
      </pivotArea>
    </format>
    <format dxfId="8">
      <pivotArea collapsedLevelsAreSubtotals="1" fieldPosition="0">
        <references count="1">
          <reference field="1" count="0"/>
        </references>
      </pivotArea>
    </format>
    <format dxfId="7">
      <pivotArea collapsedLevelsAreSubtotals="1" fieldPosition="0">
        <references count="1">
          <reference field="1" count="0"/>
        </references>
      </pivotArea>
    </format>
    <format dxfId="6">
      <pivotArea collapsedLevelsAreSubtotals="1" fieldPosition="0">
        <references count="1">
          <reference field="1" count="0"/>
        </references>
      </pivotArea>
    </format>
    <format dxfId="5">
      <pivotArea collapsedLevelsAreSubtotals="1" fieldPosition="0">
        <references count="1">
          <reference field="1"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 applyNumberFormats="0" applyBorderFormats="0" applyFontFormats="0" applyPatternFormats="0" applyAlignmentFormats="0" applyWidthHeightFormats="1" dataCaption="Values" tag="5cc9d7f2-4051-450d-b4e2-33fcd30673d4"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DE4A53-C78E-44AE-9F3D-228F2C77AFCC}" name="PivotTable3" cacheId="6"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3">
  <location ref="A17:C2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
      <pivotArea outline="0" collapsedLevelsAreSubtotals="1" fieldPosition="0"/>
    </format>
    <format dxfId="17">
      <pivotArea outline="0" fieldPosition="0">
        <references count="1">
          <reference field="4294967294" count="1">
            <x v="1"/>
          </reference>
        </references>
      </pivotArea>
    </format>
  </formats>
  <chartFormats count="4">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0"/>
          </reference>
        </references>
      </pivotArea>
    </chartFormat>
    <chartFormat chart="8" format="18">
      <pivotArea type="data" outline="0" fieldPosition="0">
        <references count="2">
          <reference field="4294967294" count="1" selected="0">
            <x v="0"/>
          </reference>
          <reference field="2" count="1" selected="0">
            <x v="1"/>
          </reference>
        </references>
      </pivotArea>
    </chartFormat>
    <chartFormat chart="8" format="19"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FFD67A-3444-4231-B18E-56A138881E9D}" name="PivotTable13" cacheId="11"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9">
  <location ref="K62:K96"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x="0"/>
      </items>
    </pivotField>
    <pivotField axis="axisRow" allDrilled="1" subtotalTop="0" showAll="0" defaultSubtotal="0" defaultAttributeDrillState="1">
      <items count="1">
        <item s="1" x="0"/>
      </items>
    </pivotField>
  </pivotFields>
  <rowFields count="4">
    <field x="3"/>
    <field x="2"/>
    <field x="0"/>
    <field x="1"/>
  </rowFields>
  <rowItems count="34">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t="grand">
      <x/>
    </i>
  </rowItems>
  <formats count="1">
    <format dxfId="19">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70F226-1B4D-42BF-A247-2B0CEA12C29E}" name="PivotTable12" cacheId="10"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9">
  <location ref="K50:L5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numFmtId="1"/>
  </dataFields>
  <formats count="1">
    <format dxfId="20">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 applyNumberFormats="0" applyBorderFormats="0" applyFontFormats="0" applyPatternFormats="0" applyAlignmentFormats="0" applyWidthHeightFormats="1" dataCaption="Values" tag="fb12455c-31f9-452b-b7ba-74cb63a66c6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0" applyNumberFormats="0" applyBorderFormats="0" applyFontFormats="0" applyPatternFormats="0" applyAlignmentFormats="0" applyWidthHeightFormats="1" dataCaption="Values" tag="bbe8932d-1b5e-4a43-9267-0461e5076ab7" updatedVersion="8" minRefreshableVersion="3" subtotalHiddenItems="1" itemPrintTitles="1" createdVersion="5" indent="0" outline="1" outlineData="1" multipleFieldFilters="0" chartFormat="213">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2B321E-80BC-4EE5-972E-4141EE5885B6}" name="PivotTable11" cacheId="9"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4">
  <location ref="H50:I5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21">
      <pivotArea outline="0" collapsedLevelsAreSubtotals="1" fieldPosition="0"/>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2" count="1" selected="0">
            <x v="0"/>
          </reference>
        </references>
      </pivotArea>
    </chartFormat>
    <chartFormat chart="22"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F8C082-CBEF-486C-810C-A05DCD3AE001}" name="PivotTable4" cacheId="5" applyNumberFormats="0" applyBorderFormats="0" applyFontFormats="0" applyPatternFormats="0" applyAlignmentFormats="0" applyWidthHeightFormats="1" dataCaption="Values" tag="7ad2ab1c-a3f1-44e9-9a39-bb971b31c846" updatedVersion="8" minRefreshableVersion="3" subtotalHiddenItems="1" itemPrintTitles="1" createdVersion="5" indent="0" outline="1" outlineData="1" multipleFieldFilters="0" chartFormat="229">
  <location ref="M4:N3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1" baseItem="0"/>
  </dataFields>
  <formats count="1">
    <format dxfId="22">
      <pivotArea outline="0" collapsedLevelsAreSubtotals="1" fieldPosition="0"/>
    </format>
  </formats>
  <chartFormats count="3">
    <chartFormat chart="224" format="0" series="1">
      <pivotArea type="data" outline="0" fieldPosition="0">
        <references count="1">
          <reference field="4294967294" count="1" selected="0">
            <x v="0"/>
          </reference>
        </references>
      </pivotArea>
    </chartFormat>
    <chartFormat chart="226" format="2" series="1">
      <pivotArea type="data" outline="0" fieldPosition="0">
        <references count="1">
          <reference field="4294967294" count="1" selected="0">
            <x v="0"/>
          </reference>
        </references>
      </pivotArea>
    </chartFormat>
    <chartFormat chart="22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4"/>
    <pivotTable tabId="1" name="PivotTable3"/>
    <pivotTable tabId="1" name="PivotTable8"/>
    <pivotTable tabId="1" name="PivotTable10"/>
    <pivotTable tabId="1" name="PivotTable11"/>
    <pivotTable tabId="1" name="PivotTable12"/>
    <pivotTable tabId="1" name="PivotTable13"/>
  </pivotTables>
  <data>
    <olap pivotCacheId="75905328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9A280CA-D76C-4AB0-8AF2-756F9E01DB5A}"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90802440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extLst>
    <x:ext xmlns:x15="http://schemas.microsoft.com/office/spreadsheetml/2010/11/main" uri="{470722E0-AACD-4C17-9CDC-17EF765DBC7E}">
      <x15:slicerCacheHideItemsWithNoData count="1">
        <x15:slicerCacheOlapLevelName uniqueName="[Calendar_Table].[Date (Year)].[Date (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Date (Year)" xr10:uid="{1D42293D-5FD4-4E11-9264-9ABC5E439FF3}" cache="Slicer_Date__Year" caption="Date (Year)" columnCount="2" showCaption="0" level="1"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tabSelected="1" zoomScale="175" zoomScaleNormal="175" workbookViewId="0">
      <selection sqref="A1:XFD1048576"/>
    </sheetView>
  </sheetViews>
  <sheetFormatPr defaultRowHeight="14.4" x14ac:dyDescent="0.3"/>
  <cols>
    <col min="5" max="5" width="8.88671875" customWidth="1"/>
    <col min="7" max="7"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N96"/>
  <sheetViews>
    <sheetView topLeftCell="F48" zoomScale="95" zoomScaleNormal="95" workbookViewId="0">
      <selection activeCell="G17" sqref="G17"/>
    </sheetView>
  </sheetViews>
  <sheetFormatPr defaultRowHeight="14.4" x14ac:dyDescent="0.3"/>
  <cols>
    <col min="1" max="1" width="14.5546875" customWidth="1"/>
    <col min="2" max="2" width="13.77734375" customWidth="1"/>
    <col min="3" max="3" width="33.88671875" customWidth="1"/>
    <col min="4" max="4" width="23.44140625" customWidth="1"/>
    <col min="5" max="5" width="19.5546875" customWidth="1"/>
    <col min="6" max="6" width="6.21875" customWidth="1"/>
    <col min="7" max="7" width="4.77734375" customWidth="1"/>
    <col min="8" max="8" width="13.33203125" customWidth="1"/>
    <col min="9" max="9" width="19.109375" customWidth="1"/>
    <col min="10" max="10" width="12.44140625" bestFit="1" customWidth="1"/>
    <col min="11" max="11" width="19" customWidth="1"/>
    <col min="12" max="12" width="22" customWidth="1"/>
  </cols>
  <sheetData>
    <row r="3" spans="1:14" x14ac:dyDescent="0.3">
      <c r="A3" t="s">
        <v>1</v>
      </c>
      <c r="D3" t="s">
        <v>37</v>
      </c>
      <c r="I3" t="s">
        <v>38</v>
      </c>
      <c r="M3" t="s">
        <v>39</v>
      </c>
    </row>
    <row r="4" spans="1:14" x14ac:dyDescent="0.3">
      <c r="A4" t="s">
        <v>0</v>
      </c>
      <c r="D4" s="1" t="s">
        <v>4</v>
      </c>
      <c r="E4" t="s">
        <v>0</v>
      </c>
      <c r="I4" s="1" t="s">
        <v>4</v>
      </c>
      <c r="J4" t="s">
        <v>2</v>
      </c>
      <c r="M4" s="1" t="s">
        <v>4</v>
      </c>
      <c r="N4" t="s">
        <v>3</v>
      </c>
    </row>
    <row r="5" spans="1:14" x14ac:dyDescent="0.3">
      <c r="A5">
        <v>479</v>
      </c>
      <c r="D5" s="4" t="s">
        <v>7</v>
      </c>
      <c r="E5">
        <v>19</v>
      </c>
      <c r="I5" s="4" t="s">
        <v>7</v>
      </c>
      <c r="J5" s="2">
        <v>40.473684210526315</v>
      </c>
      <c r="M5" s="4" t="s">
        <v>7</v>
      </c>
      <c r="N5" s="2">
        <v>3.8</v>
      </c>
    </row>
    <row r="6" spans="1:14" x14ac:dyDescent="0.3">
      <c r="D6" s="4" t="s">
        <v>8</v>
      </c>
      <c r="E6">
        <v>13</v>
      </c>
      <c r="I6" s="4" t="s">
        <v>8</v>
      </c>
      <c r="J6" s="2">
        <v>29.46153846153846</v>
      </c>
      <c r="M6" s="4" t="s">
        <v>8</v>
      </c>
      <c r="N6" s="2">
        <v>7.75</v>
      </c>
    </row>
    <row r="7" spans="1:14" x14ac:dyDescent="0.3">
      <c r="D7" s="4" t="s">
        <v>9</v>
      </c>
      <c r="E7">
        <v>14</v>
      </c>
      <c r="I7" s="4" t="s">
        <v>9</v>
      </c>
      <c r="J7" s="2">
        <v>33.928571428571431</v>
      </c>
      <c r="M7" s="4" t="s">
        <v>9</v>
      </c>
      <c r="N7" s="2">
        <v>4.5999999999999996</v>
      </c>
    </row>
    <row r="8" spans="1:14" x14ac:dyDescent="0.3">
      <c r="A8" t="s">
        <v>2</v>
      </c>
      <c r="D8" s="4" t="s">
        <v>10</v>
      </c>
      <c r="E8">
        <v>9</v>
      </c>
      <c r="I8" s="4" t="s">
        <v>10</v>
      </c>
      <c r="J8" s="2">
        <v>32.222222222222221</v>
      </c>
      <c r="M8" s="4" t="s">
        <v>10</v>
      </c>
      <c r="N8" s="2">
        <v>6</v>
      </c>
    </row>
    <row r="9" spans="1:14" x14ac:dyDescent="0.3">
      <c r="A9" s="2">
        <v>34.90187891440501</v>
      </c>
      <c r="D9" s="4" t="s">
        <v>11</v>
      </c>
      <c r="E9">
        <v>19</v>
      </c>
      <c r="I9" s="4" t="s">
        <v>11</v>
      </c>
      <c r="J9" s="2">
        <v>35.736842105263158</v>
      </c>
      <c r="M9" s="4" t="s">
        <v>11</v>
      </c>
      <c r="N9" s="2">
        <v>5.5714285714285712</v>
      </c>
    </row>
    <row r="10" spans="1:14" x14ac:dyDescent="0.3">
      <c r="D10" s="4" t="s">
        <v>12</v>
      </c>
      <c r="E10">
        <v>14</v>
      </c>
      <c r="I10" s="4" t="s">
        <v>12</v>
      </c>
      <c r="J10" s="2">
        <v>30.142857142857142</v>
      </c>
      <c r="M10" s="4" t="s">
        <v>12</v>
      </c>
      <c r="N10" s="2">
        <v>2</v>
      </c>
    </row>
    <row r="11" spans="1:14" x14ac:dyDescent="0.3">
      <c r="A11" t="s">
        <v>3</v>
      </c>
      <c r="D11" s="4" t="s">
        <v>13</v>
      </c>
      <c r="E11">
        <v>11</v>
      </c>
      <c r="I11" s="4" t="s">
        <v>13</v>
      </c>
      <c r="J11" s="2">
        <v>33.81818181818182</v>
      </c>
      <c r="M11" s="4" t="s">
        <v>13</v>
      </c>
      <c r="N11" s="2">
        <v>8</v>
      </c>
    </row>
    <row r="12" spans="1:14" x14ac:dyDescent="0.3">
      <c r="A12" s="2">
        <v>5.3034482758620687</v>
      </c>
      <c r="D12" s="4" t="s">
        <v>14</v>
      </c>
      <c r="E12">
        <v>22</v>
      </c>
      <c r="I12" s="4" t="s">
        <v>14</v>
      </c>
      <c r="J12" s="2">
        <v>31.681818181818183</v>
      </c>
      <c r="M12" s="4" t="s">
        <v>14</v>
      </c>
      <c r="N12" s="2">
        <v>8</v>
      </c>
    </row>
    <row r="13" spans="1:14" x14ac:dyDescent="0.3">
      <c r="D13" s="4" t="s">
        <v>15</v>
      </c>
      <c r="E13">
        <v>12</v>
      </c>
      <c r="I13" s="4" t="s">
        <v>15</v>
      </c>
      <c r="J13" s="2">
        <v>36.416666666666664</v>
      </c>
      <c r="M13" s="4" t="s">
        <v>15</v>
      </c>
      <c r="N13" s="2">
        <v>5.25</v>
      </c>
    </row>
    <row r="14" spans="1:14" x14ac:dyDescent="0.3">
      <c r="D14" s="4" t="s">
        <v>16</v>
      </c>
      <c r="E14">
        <v>13</v>
      </c>
      <c r="I14" s="4" t="s">
        <v>16</v>
      </c>
      <c r="J14" s="2">
        <v>33.692307692307693</v>
      </c>
      <c r="M14" s="4" t="s">
        <v>16</v>
      </c>
      <c r="N14" s="2">
        <v>6</v>
      </c>
    </row>
    <row r="15" spans="1:14" x14ac:dyDescent="0.3">
      <c r="D15" s="4" t="s">
        <v>17</v>
      </c>
      <c r="E15">
        <v>17</v>
      </c>
      <c r="I15" s="4" t="s">
        <v>17</v>
      </c>
      <c r="J15" s="2">
        <v>39.117647058823529</v>
      </c>
      <c r="M15" s="4" t="s">
        <v>17</v>
      </c>
      <c r="N15" s="2">
        <v>6.5</v>
      </c>
    </row>
    <row r="16" spans="1:14" x14ac:dyDescent="0.3">
      <c r="D16" s="4" t="s">
        <v>18</v>
      </c>
      <c r="E16">
        <v>30</v>
      </c>
      <c r="I16" s="4" t="s">
        <v>18</v>
      </c>
      <c r="J16" s="2">
        <v>36.93333333333333</v>
      </c>
      <c r="M16" s="4" t="s">
        <v>18</v>
      </c>
      <c r="N16" s="2">
        <v>5.75</v>
      </c>
    </row>
    <row r="17" spans="1:14" x14ac:dyDescent="0.3">
      <c r="A17" s="1" t="s">
        <v>4</v>
      </c>
      <c r="B17" t="s">
        <v>42</v>
      </c>
      <c r="C17" t="s">
        <v>43</v>
      </c>
      <c r="D17" s="4" t="s">
        <v>19</v>
      </c>
      <c r="E17">
        <v>13</v>
      </c>
      <c r="I17" s="4" t="s">
        <v>19</v>
      </c>
      <c r="J17" s="2">
        <v>29.923076923076923</v>
      </c>
      <c r="M17" s="4" t="s">
        <v>19</v>
      </c>
      <c r="N17" s="2">
        <v>5.6</v>
      </c>
    </row>
    <row r="18" spans="1:14" x14ac:dyDescent="0.3">
      <c r="A18" s="4" t="s">
        <v>40</v>
      </c>
      <c r="B18" s="2">
        <v>237</v>
      </c>
      <c r="C18" s="8">
        <v>0.49478079331941544</v>
      </c>
      <c r="D18" s="4" t="s">
        <v>20</v>
      </c>
      <c r="E18">
        <v>21</v>
      </c>
      <c r="I18" s="4" t="s">
        <v>20</v>
      </c>
      <c r="J18" s="2">
        <v>31.666666666666668</v>
      </c>
      <c r="M18" s="4" t="s">
        <v>20</v>
      </c>
      <c r="N18" s="2">
        <v>6.5</v>
      </c>
    </row>
    <row r="19" spans="1:14" x14ac:dyDescent="0.3">
      <c r="A19" s="4" t="s">
        <v>41</v>
      </c>
      <c r="B19" s="2">
        <v>242</v>
      </c>
      <c r="C19" s="8">
        <v>0.50521920668058451</v>
      </c>
      <c r="D19" s="4" t="s">
        <v>21</v>
      </c>
      <c r="E19">
        <v>12</v>
      </c>
      <c r="I19" s="4" t="s">
        <v>21</v>
      </c>
      <c r="J19" s="2">
        <v>40.25</v>
      </c>
      <c r="M19" s="4" t="s">
        <v>21</v>
      </c>
      <c r="N19" s="2">
        <v>5.666666666666667</v>
      </c>
    </row>
    <row r="20" spans="1:14" x14ac:dyDescent="0.3">
      <c r="A20" s="4" t="s">
        <v>5</v>
      </c>
      <c r="B20" s="2">
        <v>479</v>
      </c>
      <c r="C20" s="8">
        <v>1</v>
      </c>
      <c r="D20" s="4" t="s">
        <v>22</v>
      </c>
      <c r="E20">
        <v>17</v>
      </c>
      <c r="I20" s="4" t="s">
        <v>22</v>
      </c>
      <c r="J20" s="2">
        <v>30</v>
      </c>
      <c r="M20" s="4" t="s">
        <v>22</v>
      </c>
      <c r="N20" s="2">
        <v>5.666666666666667</v>
      </c>
    </row>
    <row r="21" spans="1:14" x14ac:dyDescent="0.3">
      <c r="D21" s="4" t="s">
        <v>23</v>
      </c>
      <c r="E21">
        <v>16</v>
      </c>
      <c r="I21" s="4" t="s">
        <v>23</v>
      </c>
      <c r="J21" s="2">
        <v>35</v>
      </c>
      <c r="M21" s="4" t="s">
        <v>23</v>
      </c>
      <c r="N21" s="2">
        <v>5.8</v>
      </c>
    </row>
    <row r="22" spans="1:14" x14ac:dyDescent="0.3">
      <c r="D22" s="4" t="s">
        <v>24</v>
      </c>
      <c r="E22">
        <v>20</v>
      </c>
      <c r="I22" s="4" t="s">
        <v>24</v>
      </c>
      <c r="J22" s="2">
        <v>41.85</v>
      </c>
      <c r="M22" s="4" t="s">
        <v>24</v>
      </c>
      <c r="N22" s="2">
        <v>4.666666666666667</v>
      </c>
    </row>
    <row r="23" spans="1:14" x14ac:dyDescent="0.3">
      <c r="D23" s="4" t="s">
        <v>25</v>
      </c>
      <c r="E23">
        <v>18</v>
      </c>
      <c r="I23" s="4" t="s">
        <v>25</v>
      </c>
      <c r="J23" s="2">
        <v>33.277777777777779</v>
      </c>
      <c r="M23" s="4" t="s">
        <v>25</v>
      </c>
      <c r="N23" s="2">
        <v>4.833333333333333</v>
      </c>
    </row>
    <row r="24" spans="1:14" x14ac:dyDescent="0.3">
      <c r="D24" s="4" t="s">
        <v>26</v>
      </c>
      <c r="E24">
        <v>16</v>
      </c>
      <c r="I24" s="4" t="s">
        <v>26</v>
      </c>
      <c r="J24" s="2">
        <v>32.9375</v>
      </c>
      <c r="M24" s="4" t="s">
        <v>26</v>
      </c>
      <c r="N24" s="2">
        <v>2.3333333333333335</v>
      </c>
    </row>
    <row r="25" spans="1:14" x14ac:dyDescent="0.3">
      <c r="D25" s="4" t="s">
        <v>27</v>
      </c>
      <c r="E25">
        <v>15</v>
      </c>
      <c r="I25" s="4" t="s">
        <v>27</v>
      </c>
      <c r="J25" s="2">
        <v>33.266666666666666</v>
      </c>
      <c r="M25" s="4" t="s">
        <v>27</v>
      </c>
      <c r="N25" s="2">
        <v>4.5</v>
      </c>
    </row>
    <row r="26" spans="1:14" x14ac:dyDescent="0.3">
      <c r="D26" s="4" t="s">
        <v>28</v>
      </c>
      <c r="E26">
        <v>18</v>
      </c>
      <c r="I26" s="4" t="s">
        <v>28</v>
      </c>
      <c r="J26" s="2">
        <v>34.444444444444443</v>
      </c>
      <c r="M26" s="4" t="s">
        <v>28</v>
      </c>
      <c r="N26" s="2">
        <v>6.666666666666667</v>
      </c>
    </row>
    <row r="27" spans="1:14" x14ac:dyDescent="0.3">
      <c r="D27" s="4" t="s">
        <v>29</v>
      </c>
      <c r="E27">
        <v>12</v>
      </c>
      <c r="I27" s="4" t="s">
        <v>29</v>
      </c>
      <c r="J27" s="2">
        <v>43.416666666666664</v>
      </c>
      <c r="M27" s="4" t="s">
        <v>29</v>
      </c>
      <c r="N27" s="2">
        <v>7.5</v>
      </c>
    </row>
    <row r="28" spans="1:14" x14ac:dyDescent="0.3">
      <c r="D28" s="4" t="s">
        <v>30</v>
      </c>
      <c r="E28">
        <v>14</v>
      </c>
      <c r="I28" s="4" t="s">
        <v>30</v>
      </c>
      <c r="J28" s="2">
        <v>36.357142857142854</v>
      </c>
      <c r="M28" s="4" t="s">
        <v>30</v>
      </c>
      <c r="N28" s="2">
        <v>5.2857142857142856</v>
      </c>
    </row>
    <row r="29" spans="1:14" x14ac:dyDescent="0.3">
      <c r="D29" s="4" t="s">
        <v>31</v>
      </c>
      <c r="E29">
        <v>18</v>
      </c>
      <c r="I29" s="4" t="s">
        <v>31</v>
      </c>
      <c r="J29" s="2">
        <v>40.611111111111114</v>
      </c>
      <c r="M29" s="4" t="s">
        <v>31</v>
      </c>
      <c r="N29" s="2">
        <v>2.875</v>
      </c>
    </row>
    <row r="30" spans="1:14" x14ac:dyDescent="0.3">
      <c r="D30" s="4" t="s">
        <v>32</v>
      </c>
      <c r="E30">
        <v>16</v>
      </c>
      <c r="I30" s="4" t="s">
        <v>32</v>
      </c>
      <c r="J30" s="2">
        <v>29.875</v>
      </c>
      <c r="M30" s="4" t="s">
        <v>32</v>
      </c>
      <c r="N30" s="2">
        <v>6.25</v>
      </c>
    </row>
    <row r="31" spans="1:14" x14ac:dyDescent="0.3">
      <c r="D31" s="4" t="s">
        <v>33</v>
      </c>
      <c r="E31">
        <v>16</v>
      </c>
      <c r="I31" s="4" t="s">
        <v>33</v>
      </c>
      <c r="J31" s="2">
        <v>33.5</v>
      </c>
      <c r="M31" s="4" t="s">
        <v>33</v>
      </c>
      <c r="N31" s="2">
        <v>6.125</v>
      </c>
    </row>
    <row r="32" spans="1:14" x14ac:dyDescent="0.3">
      <c r="D32" s="4" t="s">
        <v>34</v>
      </c>
      <c r="E32">
        <v>16</v>
      </c>
      <c r="I32" s="4" t="s">
        <v>34</v>
      </c>
      <c r="J32" s="2">
        <v>32.5625</v>
      </c>
      <c r="M32" s="4" t="s">
        <v>34</v>
      </c>
      <c r="N32" s="2">
        <v>5.75</v>
      </c>
    </row>
    <row r="33" spans="1:14" x14ac:dyDescent="0.3">
      <c r="D33" s="4" t="s">
        <v>35</v>
      </c>
      <c r="E33">
        <v>14</v>
      </c>
      <c r="I33" s="4" t="s">
        <v>35</v>
      </c>
      <c r="J33" s="2">
        <v>38.571428571428569</v>
      </c>
      <c r="M33" s="4" t="s">
        <v>35</v>
      </c>
      <c r="N33" s="2">
        <v>5.375</v>
      </c>
    </row>
    <row r="34" spans="1:14" x14ac:dyDescent="0.3">
      <c r="D34" s="4" t="s">
        <v>36</v>
      </c>
      <c r="E34">
        <v>14</v>
      </c>
      <c r="I34" s="4" t="s">
        <v>36</v>
      </c>
      <c r="J34" s="2">
        <v>32.714285714285715</v>
      </c>
      <c r="M34" s="4" t="s">
        <v>36</v>
      </c>
      <c r="N34" s="2">
        <v>5.6</v>
      </c>
    </row>
    <row r="35" spans="1:14" x14ac:dyDescent="0.3">
      <c r="D35" s="4" t="s">
        <v>5</v>
      </c>
      <c r="E35">
        <v>479</v>
      </c>
      <c r="I35" s="4" t="s">
        <v>5</v>
      </c>
      <c r="J35" s="2">
        <v>34.90187891440501</v>
      </c>
      <c r="M35" s="4" t="s">
        <v>5</v>
      </c>
      <c r="N35" s="2">
        <v>5.3034482758620687</v>
      </c>
    </row>
    <row r="44" spans="1:14" x14ac:dyDescent="0.3">
      <c r="A44" s="10" t="s">
        <v>45</v>
      </c>
      <c r="B44" s="11" t="s">
        <v>1</v>
      </c>
      <c r="C44" s="11" t="s">
        <v>46</v>
      </c>
    </row>
    <row r="45" spans="1:14" x14ac:dyDescent="0.3">
      <c r="A45" t="str">
        <f>A19</f>
        <v>Not Admitted</v>
      </c>
      <c r="B45">
        <f>B19</f>
        <v>242</v>
      </c>
      <c r="C45" s="9">
        <f>C19</f>
        <v>0.50521920668058451</v>
      </c>
    </row>
    <row r="46" spans="1:14" x14ac:dyDescent="0.3">
      <c r="A46" t="str">
        <f>A18</f>
        <v>Admitted</v>
      </c>
      <c r="B46">
        <f>B18</f>
        <v>237</v>
      </c>
      <c r="C46" s="9">
        <f>C18</f>
        <v>0.49478079331941544</v>
      </c>
    </row>
    <row r="49" spans="1:12" x14ac:dyDescent="0.3">
      <c r="A49" t="s">
        <v>56</v>
      </c>
      <c r="D49" t="s">
        <v>59</v>
      </c>
      <c r="H49" t="s">
        <v>63</v>
      </c>
    </row>
    <row r="50" spans="1:12" x14ac:dyDescent="0.3">
      <c r="A50" s="1" t="s">
        <v>4</v>
      </c>
      <c r="B50" t="s">
        <v>55</v>
      </c>
      <c r="D50" s="1" t="s">
        <v>4</v>
      </c>
      <c r="E50" t="s">
        <v>44</v>
      </c>
      <c r="H50" s="1" t="s">
        <v>4</v>
      </c>
      <c r="I50" t="s">
        <v>60</v>
      </c>
      <c r="K50" s="1" t="s">
        <v>4</v>
      </c>
      <c r="L50" t="s">
        <v>72</v>
      </c>
    </row>
    <row r="51" spans="1:12" x14ac:dyDescent="0.3">
      <c r="A51" s="4" t="s">
        <v>47</v>
      </c>
      <c r="B51" s="13">
        <v>70</v>
      </c>
      <c r="D51" s="4" t="s">
        <v>57</v>
      </c>
      <c r="E51" s="14">
        <v>273</v>
      </c>
      <c r="H51" s="4" t="s">
        <v>61</v>
      </c>
      <c r="I51" s="2">
        <v>235</v>
      </c>
      <c r="K51" s="4" t="s">
        <v>71</v>
      </c>
      <c r="L51" s="14">
        <v>4</v>
      </c>
    </row>
    <row r="52" spans="1:12" x14ac:dyDescent="0.3">
      <c r="A52" s="4" t="s">
        <v>48</v>
      </c>
      <c r="B52" s="13">
        <v>67</v>
      </c>
      <c r="D52" s="4" t="s">
        <v>58</v>
      </c>
      <c r="E52" s="14">
        <v>206</v>
      </c>
      <c r="H52" s="4" t="s">
        <v>62</v>
      </c>
      <c r="I52" s="2">
        <v>244</v>
      </c>
      <c r="K52" s="4" t="s">
        <v>67</v>
      </c>
      <c r="L52" s="14">
        <v>11</v>
      </c>
    </row>
    <row r="53" spans="1:12" x14ac:dyDescent="0.3">
      <c r="A53" s="4" t="s">
        <v>49</v>
      </c>
      <c r="B53" s="13">
        <v>64</v>
      </c>
      <c r="D53" s="4" t="s">
        <v>5</v>
      </c>
      <c r="E53" s="2">
        <v>479</v>
      </c>
      <c r="H53" s="4" t="s">
        <v>5</v>
      </c>
      <c r="I53" s="2">
        <v>479</v>
      </c>
      <c r="K53" s="4" t="s">
        <v>70</v>
      </c>
      <c r="L53" s="14">
        <v>11</v>
      </c>
    </row>
    <row r="54" spans="1:12" x14ac:dyDescent="0.3">
      <c r="A54" s="4" t="s">
        <v>50</v>
      </c>
      <c r="B54" s="13">
        <v>60</v>
      </c>
      <c r="K54" s="4" t="s">
        <v>65</v>
      </c>
      <c r="L54" s="14">
        <v>12</v>
      </c>
    </row>
    <row r="55" spans="1:12" x14ac:dyDescent="0.3">
      <c r="A55" s="4" t="s">
        <v>51</v>
      </c>
      <c r="B55" s="13">
        <v>42</v>
      </c>
      <c r="K55" s="4" t="s">
        <v>64</v>
      </c>
      <c r="L55" s="14">
        <v>18</v>
      </c>
    </row>
    <row r="56" spans="1:12" x14ac:dyDescent="0.3">
      <c r="A56" s="4" t="s">
        <v>52</v>
      </c>
      <c r="B56" s="13">
        <v>53</v>
      </c>
      <c r="K56" s="4" t="s">
        <v>69</v>
      </c>
      <c r="L56" s="14">
        <v>45</v>
      </c>
    </row>
    <row r="57" spans="1:12" x14ac:dyDescent="0.3">
      <c r="A57" s="4" t="s">
        <v>53</v>
      </c>
      <c r="B57" s="13">
        <v>71</v>
      </c>
      <c r="K57" s="4" t="s">
        <v>66</v>
      </c>
      <c r="L57" s="14">
        <v>115</v>
      </c>
    </row>
    <row r="58" spans="1:12" x14ac:dyDescent="0.3">
      <c r="A58" s="4" t="s">
        <v>54</v>
      </c>
      <c r="B58" s="13">
        <v>52</v>
      </c>
      <c r="K58" s="4" t="s">
        <v>68</v>
      </c>
      <c r="L58" s="14">
        <v>263</v>
      </c>
    </row>
    <row r="59" spans="1:12" x14ac:dyDescent="0.3">
      <c r="A59" s="4" t="s">
        <v>5</v>
      </c>
      <c r="B59" s="2">
        <v>479</v>
      </c>
      <c r="K59" s="4" t="s">
        <v>5</v>
      </c>
      <c r="L59" s="14">
        <v>479</v>
      </c>
    </row>
    <row r="62" spans="1:12" x14ac:dyDescent="0.3">
      <c r="K62" s="1" t="s">
        <v>4</v>
      </c>
    </row>
    <row r="63" spans="1:12" x14ac:dyDescent="0.3">
      <c r="K63" s="4" t="s">
        <v>73</v>
      </c>
    </row>
    <row r="64" spans="1:12" x14ac:dyDescent="0.3">
      <c r="K64" s="12" t="s">
        <v>74</v>
      </c>
    </row>
    <row r="65" spans="11:11" x14ac:dyDescent="0.3">
      <c r="K65" s="15" t="s">
        <v>75</v>
      </c>
    </row>
    <row r="66" spans="11:11" x14ac:dyDescent="0.3">
      <c r="K66" s="16">
        <v>45017</v>
      </c>
    </row>
    <row r="67" spans="11:11" x14ac:dyDescent="0.3">
      <c r="K67" s="16">
        <v>45018</v>
      </c>
    </row>
    <row r="68" spans="11:11" x14ac:dyDescent="0.3">
      <c r="K68" s="16">
        <v>45019</v>
      </c>
    </row>
    <row r="69" spans="11:11" x14ac:dyDescent="0.3">
      <c r="K69" s="16">
        <v>45020</v>
      </c>
    </row>
    <row r="70" spans="11:11" x14ac:dyDescent="0.3">
      <c r="K70" s="16">
        <v>45021</v>
      </c>
    </row>
    <row r="71" spans="11:11" x14ac:dyDescent="0.3">
      <c r="K71" s="16">
        <v>45022</v>
      </c>
    </row>
    <row r="72" spans="11:11" x14ac:dyDescent="0.3">
      <c r="K72" s="16">
        <v>45023</v>
      </c>
    </row>
    <row r="73" spans="11:11" x14ac:dyDescent="0.3">
      <c r="K73" s="16">
        <v>45024</v>
      </c>
    </row>
    <row r="74" spans="11:11" x14ac:dyDescent="0.3">
      <c r="K74" s="16">
        <v>45025</v>
      </c>
    </row>
    <row r="75" spans="11:11" x14ac:dyDescent="0.3">
      <c r="K75" s="16">
        <v>45026</v>
      </c>
    </row>
    <row r="76" spans="11:11" x14ac:dyDescent="0.3">
      <c r="K76" s="16">
        <v>45027</v>
      </c>
    </row>
    <row r="77" spans="11:11" x14ac:dyDescent="0.3">
      <c r="K77" s="16">
        <v>45028</v>
      </c>
    </row>
    <row r="78" spans="11:11" x14ac:dyDescent="0.3">
      <c r="K78" s="16">
        <v>45029</v>
      </c>
    </row>
    <row r="79" spans="11:11" x14ac:dyDescent="0.3">
      <c r="K79" s="16">
        <v>45030</v>
      </c>
    </row>
    <row r="80" spans="11:11" x14ac:dyDescent="0.3">
      <c r="K80" s="16">
        <v>45031</v>
      </c>
    </row>
    <row r="81" spans="11:11" x14ac:dyDescent="0.3">
      <c r="K81" s="16">
        <v>45032</v>
      </c>
    </row>
    <row r="82" spans="11:11" x14ac:dyDescent="0.3">
      <c r="K82" s="16">
        <v>45033</v>
      </c>
    </row>
    <row r="83" spans="11:11" x14ac:dyDescent="0.3">
      <c r="K83" s="16">
        <v>45034</v>
      </c>
    </row>
    <row r="84" spans="11:11" x14ac:dyDescent="0.3">
      <c r="K84" s="16">
        <v>45035</v>
      </c>
    </row>
    <row r="85" spans="11:11" x14ac:dyDescent="0.3">
      <c r="K85" s="16">
        <v>45036</v>
      </c>
    </row>
    <row r="86" spans="11:11" x14ac:dyDescent="0.3">
      <c r="K86" s="16">
        <v>45037</v>
      </c>
    </row>
    <row r="87" spans="11:11" x14ac:dyDescent="0.3">
      <c r="K87" s="16">
        <v>45038</v>
      </c>
    </row>
    <row r="88" spans="11:11" x14ac:dyDescent="0.3">
      <c r="K88" s="16">
        <v>45039</v>
      </c>
    </row>
    <row r="89" spans="11:11" x14ac:dyDescent="0.3">
      <c r="K89" s="16">
        <v>45040</v>
      </c>
    </row>
    <row r="90" spans="11:11" x14ac:dyDescent="0.3">
      <c r="K90" s="16">
        <v>45041</v>
      </c>
    </row>
    <row r="91" spans="11:11" x14ac:dyDescent="0.3">
      <c r="K91" s="16">
        <v>45042</v>
      </c>
    </row>
    <row r="92" spans="11:11" x14ac:dyDescent="0.3">
      <c r="K92" s="16">
        <v>45043</v>
      </c>
    </row>
    <row r="93" spans="11:11" x14ac:dyDescent="0.3">
      <c r="K93" s="16">
        <v>45044</v>
      </c>
    </row>
    <row r="94" spans="11:11" x14ac:dyDescent="0.3">
      <c r="K94" s="16">
        <v>45045</v>
      </c>
    </row>
    <row r="95" spans="11:11" x14ac:dyDescent="0.3">
      <c r="K95" s="16">
        <v>45046</v>
      </c>
    </row>
    <row r="96" spans="11:11" x14ac:dyDescent="0.3">
      <c r="K96" s="4"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60" zoomScaleNormal="160" workbookViewId="0"/>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6" t="s">
        <v>6</v>
      </c>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6CB2-F10A-4F57-A8CC-5A9415C99B8A}">
  <dimension ref="A1:T27"/>
  <sheetViews>
    <sheetView workbookViewId="0"/>
  </sheetViews>
  <sheetFormatPr defaultRowHeight="14.4" x14ac:dyDescent="0.3"/>
  <sheetData>
    <row r="1" spans="1:20" x14ac:dyDescent="0.3">
      <c r="A1" s="7"/>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row r="9" spans="1:20" x14ac:dyDescent="0.3">
      <c r="A9" s="7"/>
      <c r="B9" s="7"/>
      <c r="C9" s="7"/>
      <c r="D9" s="7"/>
      <c r="E9" s="7"/>
      <c r="F9" s="7"/>
      <c r="G9" s="7"/>
      <c r="H9" s="7"/>
      <c r="I9" s="7"/>
      <c r="J9" s="7"/>
      <c r="K9" s="7"/>
      <c r="L9" s="7"/>
      <c r="M9" s="7"/>
      <c r="N9" s="7"/>
      <c r="O9" s="7"/>
      <c r="P9" s="7"/>
      <c r="Q9" s="7"/>
      <c r="R9" s="7"/>
      <c r="S9" s="7"/>
      <c r="T9" s="7"/>
    </row>
    <row r="10" spans="1:20" x14ac:dyDescent="0.3">
      <c r="A10" s="7"/>
      <c r="B10" s="7"/>
      <c r="C10" s="7"/>
      <c r="D10" s="7"/>
      <c r="E10" s="7"/>
      <c r="F10" s="7"/>
      <c r="G10" s="7"/>
      <c r="H10" s="7"/>
      <c r="I10" s="7"/>
      <c r="J10" s="7"/>
      <c r="K10" s="7"/>
      <c r="L10" s="7"/>
      <c r="M10" s="7"/>
      <c r="N10" s="7"/>
      <c r="O10" s="7"/>
      <c r="P10" s="7"/>
      <c r="Q10" s="7"/>
      <c r="R10" s="7"/>
      <c r="S10" s="7"/>
      <c r="T10" s="7"/>
    </row>
    <row r="11" spans="1:20" x14ac:dyDescent="0.3">
      <c r="A11" s="7"/>
      <c r="B11" s="7"/>
      <c r="C11" s="7"/>
      <c r="D11" s="7"/>
      <c r="E11" s="7"/>
      <c r="F11" s="7"/>
      <c r="G11" s="7"/>
      <c r="H11" s="7"/>
      <c r="I11" s="7"/>
      <c r="J11" s="7"/>
      <c r="K11" s="7"/>
      <c r="L11" s="7"/>
      <c r="M11" s="7"/>
      <c r="N11" s="7"/>
      <c r="O11" s="7"/>
      <c r="P11" s="7"/>
      <c r="Q11" s="7"/>
      <c r="R11" s="7"/>
      <c r="S11" s="7"/>
      <c r="T11" s="7"/>
    </row>
    <row r="12" spans="1:20" x14ac:dyDescent="0.3">
      <c r="A12" s="7"/>
      <c r="B12" s="7"/>
      <c r="C12" s="7"/>
      <c r="D12" s="7"/>
      <c r="E12" s="7"/>
      <c r="F12" s="7"/>
      <c r="G12" s="7"/>
      <c r="H12" s="7"/>
      <c r="I12" s="7"/>
      <c r="J12" s="7"/>
      <c r="K12" s="7"/>
      <c r="L12" s="7"/>
      <c r="M12" s="7"/>
      <c r="N12" s="7"/>
      <c r="O12" s="7"/>
      <c r="P12" s="7"/>
      <c r="Q12" s="7"/>
      <c r="R12" s="7"/>
      <c r="S12" s="7"/>
      <c r="T12" s="7"/>
    </row>
    <row r="13" spans="1:20" x14ac:dyDescent="0.3">
      <c r="A13" s="7"/>
      <c r="B13" s="7"/>
      <c r="C13" s="7"/>
      <c r="D13" s="7"/>
      <c r="E13" s="7"/>
      <c r="F13" s="7"/>
      <c r="G13" s="7"/>
      <c r="H13" s="7"/>
      <c r="I13" s="7"/>
      <c r="J13" s="7"/>
      <c r="K13" s="7"/>
      <c r="L13" s="7"/>
      <c r="M13" s="7"/>
      <c r="N13" s="7"/>
      <c r="O13" s="7"/>
      <c r="P13" s="7"/>
      <c r="Q13" s="7"/>
      <c r="R13" s="7"/>
      <c r="S13" s="7"/>
      <c r="T13" s="7"/>
    </row>
    <row r="14" spans="1:20" x14ac:dyDescent="0.3">
      <c r="A14" s="7"/>
      <c r="B14" s="7"/>
      <c r="C14" s="7"/>
      <c r="D14" s="7"/>
      <c r="E14" s="7"/>
      <c r="F14" s="7"/>
      <c r="G14" s="7"/>
      <c r="H14" s="7"/>
      <c r="I14" s="7"/>
      <c r="J14" s="7"/>
      <c r="K14" s="7"/>
      <c r="L14" s="7"/>
      <c r="M14" s="7"/>
      <c r="N14" s="7"/>
      <c r="O14" s="7"/>
      <c r="P14" s="7"/>
      <c r="Q14" s="7"/>
      <c r="R14" s="7"/>
      <c r="S14" s="7"/>
      <c r="T14" s="7"/>
    </row>
    <row r="15" spans="1:20" x14ac:dyDescent="0.3">
      <c r="A15" s="7"/>
      <c r="B15" s="7"/>
      <c r="C15" s="7"/>
      <c r="D15" s="7"/>
      <c r="E15" s="7"/>
      <c r="F15" s="7"/>
      <c r="G15" s="7"/>
      <c r="H15" s="7"/>
      <c r="I15" s="7"/>
      <c r="J15" s="7"/>
      <c r="K15" s="7"/>
      <c r="L15" s="7"/>
      <c r="M15" s="7"/>
      <c r="N15" s="7"/>
      <c r="O15" s="7"/>
      <c r="P15" s="7"/>
      <c r="Q15" s="7"/>
      <c r="R15" s="7"/>
      <c r="S15" s="7"/>
      <c r="T15" s="7"/>
    </row>
    <row r="16" spans="1:20" x14ac:dyDescent="0.3">
      <c r="A16" s="7"/>
      <c r="B16" s="7"/>
      <c r="C16" s="7"/>
      <c r="D16" s="7"/>
      <c r="E16" s="7"/>
      <c r="F16" s="7"/>
      <c r="G16" s="7"/>
      <c r="H16" s="7"/>
      <c r="I16" s="7"/>
      <c r="J16" s="7"/>
      <c r="K16" s="7"/>
      <c r="L16" s="7"/>
      <c r="M16" s="7"/>
      <c r="N16" s="7"/>
      <c r="O16" s="7"/>
      <c r="P16" s="7"/>
      <c r="Q16" s="7"/>
      <c r="R16" s="7"/>
      <c r="S16" s="7"/>
      <c r="T16" s="7"/>
    </row>
    <row r="17" spans="1:20" x14ac:dyDescent="0.3">
      <c r="A17" s="7"/>
      <c r="B17" s="7"/>
      <c r="C17" s="7"/>
      <c r="D17" s="7"/>
      <c r="E17" s="7"/>
      <c r="F17" s="7"/>
      <c r="G17" s="7"/>
      <c r="H17" s="7"/>
      <c r="I17" s="7"/>
      <c r="J17" s="7"/>
      <c r="K17" s="7"/>
      <c r="L17" s="7"/>
      <c r="M17" s="7"/>
      <c r="N17" s="7"/>
      <c r="O17" s="7"/>
      <c r="P17" s="7"/>
      <c r="Q17" s="7"/>
      <c r="R17" s="7"/>
      <c r="S17" s="7"/>
      <c r="T17" s="7"/>
    </row>
    <row r="18" spans="1:20" x14ac:dyDescent="0.3">
      <c r="A18" s="7"/>
      <c r="B18" s="7"/>
      <c r="C18" s="7"/>
      <c r="D18" s="7"/>
      <c r="E18" s="7"/>
      <c r="F18" s="7"/>
      <c r="G18" s="7"/>
      <c r="H18" s="7"/>
      <c r="I18" s="7"/>
      <c r="J18" s="7"/>
      <c r="K18" s="7"/>
      <c r="L18" s="7"/>
      <c r="M18" s="7"/>
      <c r="N18" s="7"/>
      <c r="O18" s="7"/>
      <c r="P18" s="7"/>
      <c r="Q18" s="7"/>
      <c r="R18" s="7"/>
      <c r="S18" s="7"/>
      <c r="T18" s="7"/>
    </row>
    <row r="19" spans="1:20" x14ac:dyDescent="0.3">
      <c r="A19" s="7"/>
      <c r="B19" s="7"/>
      <c r="C19" s="7"/>
      <c r="D19" s="7"/>
      <c r="E19" s="7"/>
      <c r="F19" s="7"/>
      <c r="G19" s="7"/>
      <c r="H19" s="7"/>
      <c r="I19" s="7"/>
      <c r="J19" s="7"/>
      <c r="K19" s="7"/>
      <c r="L19" s="7"/>
      <c r="M19" s="7"/>
      <c r="N19" s="7"/>
      <c r="O19" s="7"/>
      <c r="P19" s="7"/>
      <c r="Q19" s="7"/>
      <c r="R19" s="7"/>
      <c r="S19" s="7"/>
      <c r="T19" s="7"/>
    </row>
    <row r="20" spans="1:20" x14ac:dyDescent="0.3">
      <c r="A20" s="7"/>
      <c r="B20" s="7"/>
      <c r="C20" s="7"/>
      <c r="D20" s="7"/>
      <c r="E20" s="7"/>
      <c r="F20" s="7"/>
      <c r="G20" s="7"/>
      <c r="H20" s="7"/>
      <c r="I20" s="7"/>
      <c r="J20" s="7"/>
      <c r="K20" s="7"/>
      <c r="L20" s="7"/>
      <c r="M20" s="7"/>
      <c r="N20" s="7"/>
      <c r="O20" s="7"/>
      <c r="P20" s="7"/>
      <c r="Q20" s="7"/>
      <c r="R20" s="7"/>
      <c r="S20" s="7"/>
      <c r="T20" s="7"/>
    </row>
    <row r="21" spans="1:20" x14ac:dyDescent="0.3">
      <c r="A21" s="7"/>
      <c r="B21" s="7"/>
      <c r="C21" s="7"/>
      <c r="D21" s="7"/>
      <c r="E21" s="7"/>
      <c r="F21" s="7"/>
      <c r="G21" s="7"/>
      <c r="H21" s="7"/>
      <c r="I21" s="7"/>
      <c r="J21" s="7"/>
      <c r="K21" s="7"/>
      <c r="L21" s="7"/>
      <c r="M21" s="7"/>
      <c r="N21" s="7"/>
      <c r="O21" s="7"/>
      <c r="P21" s="7"/>
      <c r="Q21" s="7"/>
      <c r="R21" s="7"/>
      <c r="S21" s="7"/>
      <c r="T21" s="7"/>
    </row>
    <row r="22" spans="1:20" x14ac:dyDescent="0.3">
      <c r="A22" s="7"/>
      <c r="B22" s="7"/>
      <c r="C22" s="7"/>
      <c r="D22" s="7"/>
      <c r="E22" s="7"/>
      <c r="F22" s="7"/>
      <c r="G22" s="7"/>
      <c r="H22" s="7"/>
      <c r="I22" s="7"/>
      <c r="J22" s="7"/>
      <c r="K22" s="7"/>
      <c r="L22" s="7"/>
      <c r="M22" s="7"/>
      <c r="N22" s="7"/>
      <c r="O22" s="7"/>
      <c r="P22" s="7"/>
      <c r="Q22" s="7"/>
      <c r="R22" s="7"/>
      <c r="S22" s="7"/>
      <c r="T22" s="7"/>
    </row>
    <row r="23" spans="1:20" x14ac:dyDescent="0.3">
      <c r="A23" s="7"/>
      <c r="B23" s="7"/>
      <c r="C23" s="7"/>
      <c r="D23" s="7"/>
      <c r="E23" s="7"/>
      <c r="F23" s="7"/>
      <c r="G23" s="7"/>
      <c r="H23" s="7"/>
      <c r="I23" s="7"/>
      <c r="J23" s="7"/>
      <c r="K23" s="7"/>
      <c r="L23" s="7"/>
      <c r="M23" s="7"/>
      <c r="N23" s="7"/>
      <c r="O23" s="7"/>
      <c r="P23" s="7"/>
      <c r="Q23" s="7"/>
      <c r="R23" s="7"/>
      <c r="S23" s="7"/>
      <c r="T23" s="7"/>
    </row>
    <row r="24" spans="1:20" x14ac:dyDescent="0.3">
      <c r="A24" s="7"/>
      <c r="B24" s="7"/>
      <c r="C24" s="7"/>
      <c r="D24" s="7"/>
      <c r="E24" s="7"/>
      <c r="F24" s="7"/>
      <c r="G24" s="7"/>
      <c r="H24" s="7"/>
      <c r="I24" s="7"/>
      <c r="J24" s="7"/>
      <c r="K24" s="7"/>
      <c r="L24" s="7"/>
      <c r="M24" s="7"/>
      <c r="N24" s="7"/>
      <c r="O24" s="7"/>
      <c r="P24" s="7"/>
      <c r="Q24" s="7"/>
      <c r="R24" s="7"/>
      <c r="S24" s="7"/>
      <c r="T24" s="7"/>
    </row>
    <row r="25" spans="1:20" x14ac:dyDescent="0.3">
      <c r="A25" s="7"/>
      <c r="B25" s="7"/>
      <c r="C25" s="7"/>
      <c r="D25" s="7"/>
      <c r="E25" s="7"/>
      <c r="F25" s="7"/>
      <c r="G25" s="7"/>
      <c r="H25" s="7"/>
      <c r="I25" s="7"/>
      <c r="J25" s="7"/>
      <c r="K25" s="7"/>
      <c r="L25" s="7"/>
      <c r="M25" s="7"/>
      <c r="N25" s="7"/>
      <c r="O25" s="7"/>
      <c r="P25" s="7"/>
      <c r="Q25" s="7"/>
      <c r="R25" s="7"/>
      <c r="S25" s="7"/>
      <c r="T25" s="7"/>
    </row>
    <row r="26" spans="1:20" x14ac:dyDescent="0.3">
      <c r="A26" s="7"/>
      <c r="B26" s="7"/>
      <c r="C26" s="7"/>
      <c r="D26" s="7"/>
      <c r="E26" s="7"/>
      <c r="F26" s="7"/>
      <c r="G26" s="7"/>
      <c r="H26" s="7"/>
      <c r="I26" s="7"/>
      <c r="J26" s="7"/>
      <c r="K26" s="7"/>
      <c r="L26" s="7"/>
      <c r="M26" s="7"/>
      <c r="N26" s="7"/>
      <c r="O26" s="7"/>
      <c r="P26" s="7"/>
      <c r="Q26" s="7"/>
      <c r="R26" s="7"/>
      <c r="S26" s="7"/>
      <c r="T26" s="7"/>
    </row>
    <row r="27" spans="1:20" x14ac:dyDescent="0.3">
      <c r="A27" s="7"/>
      <c r="B27" s="7"/>
      <c r="C27" s="7"/>
      <c r="D27" s="7"/>
      <c r="E27" s="7"/>
      <c r="F27" s="7"/>
      <c r="G27" s="7"/>
      <c r="H27" s="7"/>
      <c r="I27" s="7"/>
      <c r="J27" s="7"/>
      <c r="K27" s="7"/>
      <c r="L27" s="7"/>
      <c r="M27" s="7"/>
      <c r="N27" s="7"/>
      <c r="O27" s="7"/>
      <c r="P27" s="7"/>
      <c r="Q27" s="7"/>
      <c r="R27" s="7"/>
      <c r="S27" s="7"/>
      <c r="T27"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D6D3-3224-4CAA-9D1E-879E84A5202F}">
  <dimension ref="A1:T27"/>
  <sheetViews>
    <sheetView workbookViewId="0"/>
  </sheetViews>
  <sheetFormatPr defaultRowHeight="14.4" x14ac:dyDescent="0.3"/>
  <sheetData>
    <row r="1" spans="1:20" x14ac:dyDescent="0.3">
      <c r="A1" s="7"/>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row r="9" spans="1:20" x14ac:dyDescent="0.3">
      <c r="A9" s="7"/>
      <c r="B9" s="7"/>
      <c r="C9" s="7"/>
      <c r="D9" s="7"/>
      <c r="E9" s="7"/>
      <c r="F9" s="7"/>
      <c r="G9" s="7"/>
      <c r="H9" s="7"/>
      <c r="I9" s="7"/>
      <c r="J9" s="7"/>
      <c r="K9" s="7"/>
      <c r="L9" s="7"/>
      <c r="M9" s="7"/>
      <c r="N9" s="7"/>
      <c r="O9" s="7"/>
      <c r="P9" s="7"/>
      <c r="Q9" s="7"/>
      <c r="R9" s="7"/>
      <c r="S9" s="7"/>
      <c r="T9" s="7"/>
    </row>
    <row r="10" spans="1:20" x14ac:dyDescent="0.3">
      <c r="A10" s="7"/>
      <c r="B10" s="7"/>
      <c r="C10" s="7"/>
      <c r="D10" s="7"/>
      <c r="E10" s="7"/>
      <c r="F10" s="7"/>
      <c r="G10" s="7"/>
      <c r="H10" s="7"/>
      <c r="I10" s="7"/>
      <c r="J10" s="7"/>
      <c r="K10" s="7"/>
      <c r="L10" s="7"/>
      <c r="M10" s="7"/>
      <c r="N10" s="7"/>
      <c r="O10" s="7"/>
      <c r="P10" s="7"/>
      <c r="Q10" s="7"/>
      <c r="R10" s="7"/>
      <c r="S10" s="7"/>
      <c r="T10" s="7"/>
    </row>
    <row r="11" spans="1:20" x14ac:dyDescent="0.3">
      <c r="A11" s="7"/>
      <c r="B11" s="7"/>
      <c r="C11" s="7"/>
      <c r="D11" s="7"/>
      <c r="E11" s="7"/>
      <c r="F11" s="7"/>
      <c r="G11" s="7"/>
      <c r="H11" s="7"/>
      <c r="I11" s="7"/>
      <c r="J11" s="7"/>
      <c r="K11" s="7"/>
      <c r="L11" s="7"/>
      <c r="M11" s="7"/>
      <c r="N11" s="7"/>
      <c r="O11" s="7"/>
      <c r="P11" s="7"/>
      <c r="Q11" s="7"/>
      <c r="R11" s="7"/>
      <c r="S11" s="7"/>
      <c r="T11" s="7"/>
    </row>
    <row r="12" spans="1:20" x14ac:dyDescent="0.3">
      <c r="A12" s="7"/>
      <c r="B12" s="7"/>
      <c r="C12" s="7"/>
      <c r="D12" s="7"/>
      <c r="E12" s="7"/>
      <c r="F12" s="7"/>
      <c r="G12" s="7"/>
      <c r="H12" s="7"/>
      <c r="I12" s="7"/>
      <c r="J12" s="7"/>
      <c r="K12" s="7"/>
      <c r="L12" s="7"/>
      <c r="M12" s="7"/>
      <c r="N12" s="7"/>
      <c r="O12" s="7"/>
      <c r="P12" s="7"/>
      <c r="Q12" s="7"/>
      <c r="R12" s="7"/>
      <c r="S12" s="7"/>
      <c r="T12" s="7"/>
    </row>
    <row r="13" spans="1:20" x14ac:dyDescent="0.3">
      <c r="A13" s="7"/>
      <c r="B13" s="7"/>
      <c r="C13" s="7"/>
      <c r="D13" s="7"/>
      <c r="E13" s="7"/>
      <c r="F13" s="7"/>
      <c r="G13" s="7"/>
      <c r="H13" s="7"/>
      <c r="I13" s="7"/>
      <c r="J13" s="7"/>
      <c r="K13" s="7"/>
      <c r="L13" s="7"/>
      <c r="M13" s="7"/>
      <c r="N13" s="7"/>
      <c r="O13" s="7"/>
      <c r="P13" s="7"/>
      <c r="Q13" s="7"/>
      <c r="R13" s="7"/>
      <c r="S13" s="7"/>
      <c r="T13" s="7"/>
    </row>
    <row r="14" spans="1:20" x14ac:dyDescent="0.3">
      <c r="A14" s="7"/>
      <c r="B14" s="7"/>
      <c r="C14" s="7"/>
      <c r="D14" s="7"/>
      <c r="E14" s="7"/>
      <c r="F14" s="7"/>
      <c r="G14" s="7"/>
      <c r="H14" s="7"/>
      <c r="I14" s="7"/>
      <c r="J14" s="7"/>
      <c r="K14" s="7"/>
      <c r="L14" s="7"/>
      <c r="M14" s="7"/>
      <c r="N14" s="7"/>
      <c r="O14" s="7"/>
      <c r="P14" s="7"/>
      <c r="Q14" s="7"/>
      <c r="R14" s="7"/>
      <c r="S14" s="7"/>
      <c r="T14" s="7"/>
    </row>
    <row r="15" spans="1:20" x14ac:dyDescent="0.3">
      <c r="A15" s="7"/>
      <c r="B15" s="7"/>
      <c r="C15" s="7"/>
      <c r="D15" s="7"/>
      <c r="E15" s="7"/>
      <c r="F15" s="7"/>
      <c r="G15" s="7"/>
      <c r="H15" s="7"/>
      <c r="I15" s="7"/>
      <c r="J15" s="7"/>
      <c r="K15" s="7"/>
      <c r="L15" s="7"/>
      <c r="M15" s="7"/>
      <c r="N15" s="7"/>
      <c r="O15" s="7"/>
      <c r="P15" s="7"/>
      <c r="Q15" s="7"/>
      <c r="R15" s="7"/>
      <c r="S15" s="7"/>
      <c r="T15" s="7"/>
    </row>
    <row r="16" spans="1:20" x14ac:dyDescent="0.3">
      <c r="A16" s="7"/>
      <c r="B16" s="7"/>
      <c r="C16" s="7"/>
      <c r="D16" s="7"/>
      <c r="E16" s="7"/>
      <c r="F16" s="7"/>
      <c r="G16" s="7"/>
      <c r="H16" s="7"/>
      <c r="I16" s="7"/>
      <c r="J16" s="7"/>
      <c r="K16" s="7"/>
      <c r="L16" s="7"/>
      <c r="M16" s="7"/>
      <c r="N16" s="7"/>
      <c r="O16" s="7"/>
      <c r="P16" s="7"/>
      <c r="Q16" s="7"/>
      <c r="R16" s="7"/>
      <c r="S16" s="7"/>
      <c r="T16" s="7"/>
    </row>
    <row r="17" spans="1:20" x14ac:dyDescent="0.3">
      <c r="A17" s="7"/>
      <c r="B17" s="7"/>
      <c r="C17" s="7"/>
      <c r="D17" s="7"/>
      <c r="E17" s="7"/>
      <c r="F17" s="7"/>
      <c r="G17" s="7"/>
      <c r="H17" s="7"/>
      <c r="I17" s="7"/>
      <c r="J17" s="7"/>
      <c r="K17" s="7"/>
      <c r="L17" s="7"/>
      <c r="M17" s="7"/>
      <c r="N17" s="7"/>
      <c r="O17" s="7"/>
      <c r="P17" s="7"/>
      <c r="Q17" s="7"/>
      <c r="R17" s="7"/>
      <c r="S17" s="7"/>
      <c r="T17" s="7"/>
    </row>
    <row r="18" spans="1:20" x14ac:dyDescent="0.3">
      <c r="A18" s="7"/>
      <c r="B18" s="7"/>
      <c r="C18" s="7"/>
      <c r="D18" s="7"/>
      <c r="E18" s="7"/>
      <c r="F18" s="7"/>
      <c r="G18" s="7"/>
      <c r="H18" s="7"/>
      <c r="I18" s="7"/>
      <c r="J18" s="7"/>
      <c r="K18" s="7"/>
      <c r="L18" s="7"/>
      <c r="M18" s="7"/>
      <c r="N18" s="7"/>
      <c r="O18" s="7"/>
      <c r="P18" s="7"/>
      <c r="Q18" s="7"/>
      <c r="R18" s="7"/>
      <c r="S18" s="7"/>
      <c r="T18" s="7"/>
    </row>
    <row r="19" spans="1:20" x14ac:dyDescent="0.3">
      <c r="A19" s="7"/>
      <c r="B19" s="7"/>
      <c r="C19" s="7"/>
      <c r="D19" s="7"/>
      <c r="E19" s="7"/>
      <c r="F19" s="7"/>
      <c r="G19" s="7"/>
      <c r="H19" s="7"/>
      <c r="I19" s="7"/>
      <c r="J19" s="7"/>
      <c r="K19" s="7"/>
      <c r="L19" s="7"/>
      <c r="M19" s="7"/>
      <c r="N19" s="7"/>
      <c r="O19" s="7"/>
      <c r="P19" s="7"/>
      <c r="Q19" s="7"/>
      <c r="R19" s="7"/>
      <c r="S19" s="7"/>
      <c r="T19" s="7"/>
    </row>
    <row r="20" spans="1:20" x14ac:dyDescent="0.3">
      <c r="A20" s="7"/>
      <c r="B20" s="7"/>
      <c r="C20" s="7"/>
      <c r="D20" s="7"/>
      <c r="E20" s="7"/>
      <c r="F20" s="7"/>
      <c r="G20" s="7"/>
      <c r="H20" s="7"/>
      <c r="I20" s="7"/>
      <c r="J20" s="7"/>
      <c r="K20" s="7"/>
      <c r="L20" s="7"/>
      <c r="M20" s="7"/>
      <c r="N20" s="7"/>
      <c r="O20" s="7"/>
      <c r="P20" s="7"/>
      <c r="Q20" s="7"/>
      <c r="R20" s="7"/>
      <c r="S20" s="7"/>
      <c r="T20" s="7"/>
    </row>
    <row r="21" spans="1:20" x14ac:dyDescent="0.3">
      <c r="A21" s="7"/>
      <c r="B21" s="7"/>
      <c r="C21" s="7"/>
      <c r="D21" s="7"/>
      <c r="E21" s="7"/>
      <c r="F21" s="7"/>
      <c r="G21" s="7"/>
      <c r="H21" s="7"/>
      <c r="I21" s="7"/>
      <c r="J21" s="7"/>
      <c r="K21" s="7"/>
      <c r="L21" s="7"/>
      <c r="M21" s="7"/>
      <c r="N21" s="7"/>
      <c r="O21" s="7"/>
      <c r="P21" s="7"/>
      <c r="Q21" s="7"/>
      <c r="R21" s="7"/>
      <c r="S21" s="7"/>
      <c r="T21" s="7"/>
    </row>
    <row r="22" spans="1:20" x14ac:dyDescent="0.3">
      <c r="A22" s="7"/>
      <c r="B22" s="7"/>
      <c r="C22" s="7"/>
      <c r="D22" s="7"/>
      <c r="E22" s="7"/>
      <c r="F22" s="7"/>
      <c r="G22" s="7"/>
      <c r="H22" s="7"/>
      <c r="I22" s="7"/>
      <c r="J22" s="7"/>
      <c r="K22" s="7"/>
      <c r="L22" s="7"/>
      <c r="M22" s="7"/>
      <c r="N22" s="7"/>
      <c r="O22" s="7"/>
      <c r="P22" s="7"/>
      <c r="Q22" s="7"/>
      <c r="R22" s="7"/>
      <c r="S22" s="7"/>
      <c r="T22" s="7"/>
    </row>
    <row r="23" spans="1:20" x14ac:dyDescent="0.3">
      <c r="A23" s="7"/>
      <c r="B23" s="7"/>
      <c r="C23" s="7"/>
      <c r="D23" s="7"/>
      <c r="E23" s="7"/>
      <c r="F23" s="7"/>
      <c r="G23" s="7"/>
      <c r="H23" s="7"/>
      <c r="I23" s="7"/>
      <c r="J23" s="7"/>
      <c r="K23" s="7"/>
      <c r="L23" s="7"/>
      <c r="M23" s="7"/>
      <c r="N23" s="7"/>
      <c r="O23" s="7"/>
      <c r="P23" s="7"/>
      <c r="Q23" s="7"/>
      <c r="R23" s="7"/>
      <c r="S23" s="7"/>
      <c r="T23" s="7"/>
    </row>
    <row r="24" spans="1:20" x14ac:dyDescent="0.3">
      <c r="A24" s="7"/>
      <c r="B24" s="7"/>
      <c r="C24" s="7"/>
      <c r="D24" s="7"/>
      <c r="E24" s="7"/>
      <c r="F24" s="7"/>
      <c r="G24" s="7"/>
      <c r="H24" s="7"/>
      <c r="I24" s="7"/>
      <c r="J24" s="7"/>
      <c r="K24" s="7"/>
      <c r="L24" s="7"/>
      <c r="M24" s="7"/>
      <c r="N24" s="7"/>
      <c r="O24" s="7"/>
      <c r="P24" s="7"/>
      <c r="Q24" s="7"/>
      <c r="R24" s="7"/>
      <c r="S24" s="7"/>
      <c r="T24" s="7"/>
    </row>
    <row r="25" spans="1:20" x14ac:dyDescent="0.3">
      <c r="A25" s="7"/>
      <c r="B25" s="7"/>
      <c r="C25" s="7"/>
      <c r="D25" s="7"/>
      <c r="E25" s="7"/>
      <c r="F25" s="7"/>
      <c r="G25" s="7"/>
      <c r="H25" s="7"/>
      <c r="I25" s="7"/>
      <c r="J25" s="7"/>
      <c r="K25" s="7"/>
      <c r="L25" s="7"/>
      <c r="M25" s="7"/>
      <c r="N25" s="7"/>
      <c r="O25" s="7"/>
      <c r="P25" s="7"/>
      <c r="Q25" s="7"/>
      <c r="R25" s="7"/>
      <c r="S25" s="7"/>
      <c r="T25" s="7"/>
    </row>
    <row r="26" spans="1:20" x14ac:dyDescent="0.3">
      <c r="A26" s="7"/>
      <c r="B26" s="7"/>
      <c r="C26" s="7"/>
      <c r="D26" s="7"/>
      <c r="E26" s="7"/>
      <c r="F26" s="7"/>
      <c r="G26" s="7"/>
      <c r="H26" s="7"/>
      <c r="I26" s="7"/>
      <c r="J26" s="7"/>
      <c r="K26" s="7"/>
      <c r="L26" s="7"/>
      <c r="M26" s="7"/>
      <c r="N26" s="7"/>
      <c r="O26" s="7"/>
      <c r="P26" s="7"/>
      <c r="Q26" s="7"/>
      <c r="R26" s="7"/>
      <c r="S26" s="7"/>
      <c r="T26" s="7"/>
    </row>
    <row r="27" spans="1:20" x14ac:dyDescent="0.3">
      <c r="A27" s="7"/>
      <c r="B27" s="7"/>
      <c r="C27" s="7"/>
      <c r="D27" s="7"/>
      <c r="E27" s="7"/>
      <c r="F27" s="7"/>
      <c r="G27" s="7"/>
      <c r="H27" s="7"/>
      <c r="I27" s="7"/>
      <c r="J27" s="7"/>
      <c r="K27" s="7"/>
      <c r="L27" s="7"/>
      <c r="M27" s="7"/>
      <c r="N27" s="7"/>
      <c r="O27" s="7"/>
      <c r="P27" s="7"/>
      <c r="Q27" s="7"/>
      <c r="R27" s="7"/>
      <c r="S27" s="7"/>
      <c r="T27"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A69D05-6864-4142-A108-1BA96DFA4DE4}">
  <ds:schemaRefs/>
</ds:datastoreItem>
</file>

<file path=customXml/itemProps2.xml><?xml version="1.0" encoding="utf-8"?>
<ds:datastoreItem xmlns:ds="http://schemas.openxmlformats.org/officeDocument/2006/customXml" ds:itemID="{8F6E7591-6813-4DD6-8F69-4CFEAAAE715E}">
  <ds:schemaRefs/>
</ds:datastoreItem>
</file>

<file path=customXml/itemProps3.xml><?xml version="1.0" encoding="utf-8"?>
<ds:datastoreItem xmlns:ds="http://schemas.openxmlformats.org/officeDocument/2006/customXml" ds:itemID="{0185C27E-386B-4DDF-B4D2-A72EFD8613C7}">
  <ds:schemaRefs/>
</ds:datastoreItem>
</file>

<file path=customXml/itemProps4.xml><?xml version="1.0" encoding="utf-8"?>
<ds:datastoreItem xmlns:ds="http://schemas.openxmlformats.org/officeDocument/2006/customXml" ds:itemID="{61FCE7D1-8102-4BC7-8008-2E979091CA9B}">
  <ds:schemaRefs/>
</ds:datastoreItem>
</file>

<file path=customXml/itemProps5.xml><?xml version="1.0" encoding="utf-8"?>
<ds:datastoreItem xmlns:ds="http://schemas.openxmlformats.org/officeDocument/2006/customXml" ds:itemID="{75C95D97-2F61-4361-8EB0-75CA7FBA80BB}">
  <ds:schemaRefs/>
</ds:datastoreItem>
</file>

<file path=customXml/itemProps6.xml><?xml version="1.0" encoding="utf-8"?>
<ds:datastoreItem xmlns:ds="http://schemas.openxmlformats.org/officeDocument/2006/customXml" ds:itemID="{46456E61-B037-4F6F-A77E-EFC146F68978}">
  <ds:schemaRefs/>
</ds:datastoreItem>
</file>

<file path=customXml/itemProps7.xml><?xml version="1.0" encoding="utf-8"?>
<ds:datastoreItem xmlns:ds="http://schemas.openxmlformats.org/officeDocument/2006/customXml" ds:itemID="{1A856234-EDC0-4AB5-ACED-966735E787EE}">
  <ds:schemaRefs/>
</ds:datastoreItem>
</file>

<file path=customXml/itemProps8.xml><?xml version="1.0" encoding="utf-8"?>
<ds:datastoreItem xmlns:ds="http://schemas.openxmlformats.org/officeDocument/2006/customXml" ds:itemID="{4DD47533-BC0E-49BC-950B-66E6E1E1DF41}">
  <ds:schemaRefs/>
</ds:datastoreItem>
</file>

<file path=customXml/itemProps9.xml><?xml version="1.0" encoding="utf-8"?>
<ds:datastoreItem xmlns:ds="http://schemas.openxmlformats.org/officeDocument/2006/customXml" ds:itemID="{BAE379F0-60C9-4BD7-8CA3-E9CB8EE0B7B3}">
  <ds:schemaRefs/>
</ds:datastoreItem>
</file>

<file path=customXml/itemProps10.xml><?xml version="1.0" encoding="utf-8"?>
<ds:datastoreItem xmlns:ds="http://schemas.openxmlformats.org/officeDocument/2006/customXml" ds:itemID="{D5ABD098-8F26-4449-BCD0-4C1CFFA069A0}">
  <ds:schemaRefs/>
</ds:datastoreItem>
</file>

<file path=customXml/itemProps11.xml><?xml version="1.0" encoding="utf-8"?>
<ds:datastoreItem xmlns:ds="http://schemas.openxmlformats.org/officeDocument/2006/customXml" ds:itemID="{EDD46A23-0D4C-42B9-B70B-3B028EF7A29D}">
  <ds:schemaRefs>
    <ds:schemaRef ds:uri="http://schemas.microsoft.com/DataMashup"/>
  </ds:schemaRefs>
</ds:datastoreItem>
</file>

<file path=customXml/itemProps12.xml><?xml version="1.0" encoding="utf-8"?>
<ds:datastoreItem xmlns:ds="http://schemas.openxmlformats.org/officeDocument/2006/customXml" ds:itemID="{116593C4-B610-4EE8-AD5A-F6F7F6A81FB2}">
  <ds:schemaRefs/>
</ds:datastoreItem>
</file>

<file path=customXml/itemProps13.xml><?xml version="1.0" encoding="utf-8"?>
<ds:datastoreItem xmlns:ds="http://schemas.openxmlformats.org/officeDocument/2006/customXml" ds:itemID="{475FF370-F0BF-47FA-A54F-78A3006A96FA}">
  <ds:schemaRefs/>
</ds:datastoreItem>
</file>

<file path=customXml/itemProps14.xml><?xml version="1.0" encoding="utf-8"?>
<ds:datastoreItem xmlns:ds="http://schemas.openxmlformats.org/officeDocument/2006/customXml" ds:itemID="{75C9F00B-E518-480F-94B6-0885CBE01B00}">
  <ds:schemaRefs/>
</ds:datastoreItem>
</file>

<file path=customXml/itemProps15.xml><?xml version="1.0" encoding="utf-8"?>
<ds:datastoreItem xmlns:ds="http://schemas.openxmlformats.org/officeDocument/2006/customXml" ds:itemID="{4306E791-6048-4B29-86ED-3E7070F15816}">
  <ds:schemaRefs/>
</ds:datastoreItem>
</file>

<file path=customXml/itemProps16.xml><?xml version="1.0" encoding="utf-8"?>
<ds:datastoreItem xmlns:ds="http://schemas.openxmlformats.org/officeDocument/2006/customXml" ds:itemID="{DD0BC13B-3645-4967-95E2-FF0132D9444B}">
  <ds:schemaRefs/>
</ds:datastoreItem>
</file>

<file path=customXml/itemProps17.xml><?xml version="1.0" encoding="utf-8"?>
<ds:datastoreItem xmlns:ds="http://schemas.openxmlformats.org/officeDocument/2006/customXml" ds:itemID="{3B8BDEDE-4214-43A8-A91B-EFF7D8108D07}">
  <ds:schemaRefs/>
</ds:datastoreItem>
</file>

<file path=customXml/itemProps18.xml><?xml version="1.0" encoding="utf-8"?>
<ds:datastoreItem xmlns:ds="http://schemas.openxmlformats.org/officeDocument/2006/customXml" ds:itemID="{C02E2CBA-E654-45B6-87C4-3FA895D372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 of patient</vt:lpstr>
      <vt:lpstr>Average wait time daily trend</vt:lpstr>
      <vt:lpstr>satisfaction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khushi parvat</cp:lastModifiedBy>
  <dcterms:created xsi:type="dcterms:W3CDTF">2025-01-22T07:08:48Z</dcterms:created>
  <dcterms:modified xsi:type="dcterms:W3CDTF">2026-02-05T10:27:04Z</dcterms:modified>
</cp:coreProperties>
</file>